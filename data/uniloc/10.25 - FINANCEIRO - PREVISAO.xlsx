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Servidorlemos\a lemos 2024\FINANCEIRO 2025\"/>
    </mc:Choice>
  </mc:AlternateContent>
  <xr:revisionPtr revIDLastSave="0" documentId="13_ncr:1_{7A19BA5D-B51A-46D1-87A6-D1524519B24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0.25 - PREVISAO" sheetId="5" r:id="rId1"/>
    <sheet name="10.25 - INADIMPLENCIA" sheetId="4" r:id="rId2"/>
    <sheet name="10.25 - DESPESAS" sheetId="3" r:id="rId3"/>
    <sheet name="10.25 - ACORDO" sheetId="2" r:id="rId4"/>
    <sheet name="10.25 - JURIDICO - RESCISÃO" sheetId="1" r:id="rId5"/>
    <sheet name="REPASSE - 27" sheetId="6" r:id="rId6"/>
  </sheets>
  <definedNames>
    <definedName name="_xlnm._FilterDatabase" localSheetId="3" hidden="1">'10.25 - ACORDO'!$A$1:$K$1</definedName>
    <definedName name="_xlnm._FilterDatabase" localSheetId="2" hidden="1">'10.25 - DESPESAS'!$A$1:$E$1</definedName>
    <definedName name="_xlnm._FilterDatabase" localSheetId="1" hidden="1">'10.25 - INADIMPLENCIA'!$A$1:$Q$1</definedName>
    <definedName name="_xlnm._FilterDatabase" localSheetId="0" hidden="1">'10.25 - PREVISAO'!$A$1:$Q$1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2" i="5" l="1"/>
  <c r="C129" i="5"/>
  <c r="C3" i="5"/>
  <c r="C5" i="5"/>
  <c r="C6" i="5"/>
  <c r="C7" i="5"/>
  <c r="C8" i="5"/>
  <c r="C9" i="5"/>
  <c r="C10" i="5"/>
  <c r="C12" i="5"/>
  <c r="C13" i="5"/>
  <c r="C14" i="5"/>
  <c r="C16" i="5"/>
  <c r="C18" i="5"/>
  <c r="C19" i="5"/>
  <c r="C20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6" i="5"/>
  <c r="C37" i="5"/>
  <c r="C38" i="5"/>
  <c r="C40" i="5"/>
  <c r="C43" i="5"/>
  <c r="C45" i="5"/>
  <c r="C46" i="5"/>
  <c r="C47" i="5"/>
  <c r="C48" i="5"/>
  <c r="C49" i="5"/>
  <c r="C50" i="5"/>
  <c r="C52" i="5"/>
  <c r="C54" i="5"/>
  <c r="C55" i="5"/>
  <c r="C56" i="5"/>
  <c r="C57" i="5"/>
  <c r="C58" i="5"/>
  <c r="C59" i="5"/>
  <c r="C60" i="5"/>
  <c r="C61" i="5"/>
  <c r="C63" i="5"/>
  <c r="C65" i="5"/>
  <c r="C66" i="5"/>
  <c r="C67" i="5"/>
  <c r="C68" i="5"/>
  <c r="C69" i="5"/>
  <c r="C70" i="5"/>
  <c r="C71" i="5"/>
  <c r="C72" i="5"/>
  <c r="C73" i="5"/>
  <c r="C74" i="5"/>
  <c r="C75" i="5"/>
  <c r="C76" i="5"/>
  <c r="C79" i="5"/>
  <c r="C80" i="5"/>
  <c r="C81" i="5"/>
  <c r="C82" i="5"/>
  <c r="C83" i="5"/>
  <c r="C84" i="5"/>
  <c r="C85" i="5"/>
  <c r="C86" i="5"/>
  <c r="C88" i="5"/>
  <c r="C89" i="5"/>
  <c r="C91" i="5"/>
  <c r="C92" i="5"/>
  <c r="C93" i="5"/>
  <c r="C94" i="5"/>
  <c r="C95" i="5"/>
  <c r="C97" i="5"/>
  <c r="C98" i="5"/>
  <c r="C99" i="5"/>
  <c r="C100" i="5"/>
  <c r="C103" i="5"/>
  <c r="C105" i="5"/>
  <c r="C106" i="5"/>
  <c r="C107" i="5"/>
  <c r="C108" i="5"/>
  <c r="C111" i="5"/>
  <c r="C112" i="5"/>
  <c r="C113" i="5"/>
  <c r="C114" i="5"/>
  <c r="C115" i="5"/>
  <c r="C117" i="5"/>
  <c r="C118" i="5"/>
  <c r="C119" i="5"/>
  <c r="C120" i="5"/>
  <c r="C122" i="5"/>
  <c r="C124" i="5"/>
  <c r="C125" i="5"/>
  <c r="C127" i="5"/>
  <c r="A42" i="6"/>
  <c r="A37" i="6"/>
  <c r="A44" i="6" s="1"/>
  <c r="E45" i="3"/>
  <c r="F129" i="5"/>
  <c r="B129" i="5"/>
  <c r="B10" i="4"/>
  <c r="B131" i="5" l="1"/>
  <c r="C2" i="5"/>
  <c r="C6" i="4"/>
  <c r="C5" i="4"/>
  <c r="C8" i="4"/>
  <c r="F10" i="4"/>
  <c r="C9" i="4"/>
  <c r="C7" i="4"/>
  <c r="C3" i="4"/>
  <c r="C2" i="4"/>
  <c r="C10" i="4" l="1"/>
  <c r="C131" i="5"/>
  <c r="B133" i="5" s="1"/>
</calcChain>
</file>

<file path=xl/sharedStrings.xml><?xml version="1.0" encoding="utf-8"?>
<sst xmlns="http://schemas.openxmlformats.org/spreadsheetml/2006/main" count="892" uniqueCount="498">
  <si>
    <t>INQUILINO</t>
  </si>
  <si>
    <t xml:space="preserve">VALOR </t>
  </si>
  <si>
    <t>MOVIMENTAÇÃO</t>
  </si>
  <si>
    <t xml:space="preserve">MARIANA DEMARCHI </t>
  </si>
  <si>
    <t xml:space="preserve">ENVIADO POR EMAIL - CAIO </t>
  </si>
  <si>
    <t>VENCIMENTO</t>
  </si>
  <si>
    <t>VALOR</t>
  </si>
  <si>
    <t>PAG</t>
  </si>
  <si>
    <t>M / J</t>
  </si>
  <si>
    <t>PARCELA</t>
  </si>
  <si>
    <t>REPASSE</t>
  </si>
  <si>
    <t>REP</t>
  </si>
  <si>
    <t>BANCO</t>
  </si>
  <si>
    <t>DIOGENES</t>
  </si>
  <si>
    <t xml:space="preserve">NEUZA MACHADO VIEIRA </t>
  </si>
  <si>
    <t>MARIA JOSE</t>
  </si>
  <si>
    <t xml:space="preserve">GABRIEL SILVA MARANGONI </t>
  </si>
  <si>
    <t xml:space="preserve">MARCOS VINICIUS CORREA RIBEIRO </t>
  </si>
  <si>
    <t>VINICIUS MORANDINI REGINATO</t>
  </si>
  <si>
    <t>MARCELO ALVES DE SOUSA</t>
  </si>
  <si>
    <t>GUSTAVO ALVARENGA FONSECA</t>
  </si>
  <si>
    <t>2.18</t>
  </si>
  <si>
    <t xml:space="preserve">FRANSERGIO APARECIDO DA SILVA </t>
  </si>
  <si>
    <t>WLADIMIR MACHADO</t>
  </si>
  <si>
    <t>5.9</t>
  </si>
  <si>
    <t>THIAGO TEODORO ALVES</t>
  </si>
  <si>
    <t>ANA LAURA DUARTE DA SILVA</t>
  </si>
  <si>
    <t xml:space="preserve">FELIPE EDUARDO PERARO </t>
  </si>
  <si>
    <t xml:space="preserve">IMOBILIARIA LEMOS </t>
  </si>
  <si>
    <t>SICOOB - IMOB</t>
  </si>
  <si>
    <t>DENER MARQUES</t>
  </si>
  <si>
    <t>RICARDO APARECIDO</t>
  </si>
  <si>
    <t>GUILHERME HENRIQUE</t>
  </si>
  <si>
    <t>HOPE</t>
  </si>
  <si>
    <t>5.5</t>
  </si>
  <si>
    <t>3.19</t>
  </si>
  <si>
    <t>16.29</t>
  </si>
  <si>
    <t>3.20</t>
  </si>
  <si>
    <t>9.10</t>
  </si>
  <si>
    <t>VENC</t>
  </si>
  <si>
    <t>TIPO</t>
  </si>
  <si>
    <t>DESPESA</t>
  </si>
  <si>
    <t>F</t>
  </si>
  <si>
    <t>SABESP - TABELIAO</t>
  </si>
  <si>
    <t>COND - ANCHIETA</t>
  </si>
  <si>
    <t>SEGURO - STRADA</t>
  </si>
  <si>
    <t>SEGIMOB</t>
  </si>
  <si>
    <t>SEGURO - NILTON</t>
  </si>
  <si>
    <t xml:space="preserve">COND - NELSON VIARO </t>
  </si>
  <si>
    <t>SALARIO - GERALDO</t>
  </si>
  <si>
    <t>CESTA BASICA - GERALDO</t>
  </si>
  <si>
    <t>SALARIO - NAIRA</t>
  </si>
  <si>
    <t>SALARIO - LORENA</t>
  </si>
  <si>
    <t>CPFL - SIMAO</t>
  </si>
  <si>
    <t>CPFL - SITIO</t>
  </si>
  <si>
    <t>SEGURO - AUDI</t>
  </si>
  <si>
    <t>SABESP - BUENO</t>
  </si>
  <si>
    <t>ACIF</t>
  </si>
  <si>
    <t>CLARO</t>
  </si>
  <si>
    <t>IPTU - BUENO</t>
  </si>
  <si>
    <t>IPTU - SIMAO</t>
  </si>
  <si>
    <t>CPFL - TABELIAO</t>
  </si>
  <si>
    <t>IRRF</t>
  </si>
  <si>
    <t>FGTS</t>
  </si>
  <si>
    <t>SABESP - SIMAO</t>
  </si>
  <si>
    <t>UNIVEN</t>
  </si>
  <si>
    <t>UNILOC</t>
  </si>
  <si>
    <t xml:space="preserve">SALARIO - GABRIEL </t>
  </si>
  <si>
    <t>ALGAR - LIBERO</t>
  </si>
  <si>
    <t>UNIMED</t>
  </si>
  <si>
    <t>TIM</t>
  </si>
  <si>
    <t>NUBANK</t>
  </si>
  <si>
    <t>HABIFRAN</t>
  </si>
  <si>
    <t>ALUGUEL - TABELIÃO</t>
  </si>
  <si>
    <t>ALGAR - IMOB</t>
  </si>
  <si>
    <t>RAFER CONTABILIDADE</t>
  </si>
  <si>
    <t>JURIDICO</t>
  </si>
  <si>
    <t>CIEE</t>
  </si>
  <si>
    <t>IRPF - NILTON</t>
  </si>
  <si>
    <t xml:space="preserve">SEGURO CARRO NOEMIA </t>
  </si>
  <si>
    <t>CPFL - BUENO</t>
  </si>
  <si>
    <t xml:space="preserve">TOTAL </t>
  </si>
  <si>
    <t xml:space="preserve">IMOVEL WEB </t>
  </si>
  <si>
    <t>TAXA</t>
  </si>
  <si>
    <t>P</t>
  </si>
  <si>
    <t>DATA</t>
  </si>
  <si>
    <t>ENDEREÇO</t>
  </si>
  <si>
    <t>G</t>
  </si>
  <si>
    <t>SEGURO</t>
  </si>
  <si>
    <t>VEN / SEG</t>
  </si>
  <si>
    <t>CONTR</t>
  </si>
  <si>
    <t xml:space="preserve">PROPRIETÁRIO </t>
  </si>
  <si>
    <t xml:space="preserve">BOLETO </t>
  </si>
  <si>
    <t>IPTU 25</t>
  </si>
  <si>
    <t>DANILO EURIPEDES MATIAS</t>
  </si>
  <si>
    <t>JOAO ARAUJO MALHEIROS - 1005</t>
  </si>
  <si>
    <t>ESSENCIAL</t>
  </si>
  <si>
    <t xml:space="preserve">RONALDO JUSTINO GOMES </t>
  </si>
  <si>
    <t>ALESSANDRA DOS SANTOS PEREIRA</t>
  </si>
  <si>
    <t>FREDERICO OZANAM - 400</t>
  </si>
  <si>
    <t xml:space="preserve">SUPER </t>
  </si>
  <si>
    <t>DANIELA DE SOUZA CRUZ PRADO</t>
  </si>
  <si>
    <t>ODETE BARBOSA FERREIRA - 2925</t>
  </si>
  <si>
    <t>VINICIUS EDUARDO REZENDE SILVA</t>
  </si>
  <si>
    <t>VENEZUELA - 1310</t>
  </si>
  <si>
    <t>SUPER</t>
  </si>
  <si>
    <t>OK</t>
  </si>
  <si>
    <t>EZEQUIEL BALBINO FELICIANO</t>
  </si>
  <si>
    <t>OTAVIO MAGRIN - 5501</t>
  </si>
  <si>
    <t>FIADOR</t>
  </si>
  <si>
    <t>WALDOMIRO MACHADO</t>
  </si>
  <si>
    <t>EDLAINE MENDES DE OLIVEIRA</t>
  </si>
  <si>
    <t>MANOEL BATISTA BARBOSA - 3560</t>
  </si>
  <si>
    <t xml:space="preserve">REJANE - IVAN MOLINA </t>
  </si>
  <si>
    <t xml:space="preserve">JESSICA RIBEIRO DE FARIA </t>
  </si>
  <si>
    <t>ARNALDO TEIXEIRA LEMOS - 260</t>
  </si>
  <si>
    <t>PAULA ANTOLIN MORIKOSHI</t>
  </si>
  <si>
    <t>TOTAL</t>
  </si>
  <si>
    <t>ARMANDO BONATTI</t>
  </si>
  <si>
    <t>FRANCISCO DE PAULA SILVEIRA - 1400</t>
  </si>
  <si>
    <t>CARRO</t>
  </si>
  <si>
    <t>RENATA SANTIAGO NORONHA</t>
  </si>
  <si>
    <t>CLAUDINEI LUIZ DE OLIVEIRA</t>
  </si>
  <si>
    <t>ROMEU PRESOTO - 1365</t>
  </si>
  <si>
    <t xml:space="preserve">MARCIO LUCIO CHAGAS </t>
  </si>
  <si>
    <t>IPTU25</t>
  </si>
  <si>
    <t>GILMARA ROSA ARAUJO</t>
  </si>
  <si>
    <t>PADRE ANCHIETA - 1334</t>
  </si>
  <si>
    <t>24 HORAS</t>
  </si>
  <si>
    <t>JDD</t>
  </si>
  <si>
    <t>-</t>
  </si>
  <si>
    <t>MARILENE SCATENA</t>
  </si>
  <si>
    <t>JOSE COELHO AZEVEDO - 461</t>
  </si>
  <si>
    <t>CREDPAGO</t>
  </si>
  <si>
    <t>RONALDO JUSTINO GOMES</t>
  </si>
  <si>
    <t>ADILSON RAMOS RODRIGUES</t>
  </si>
  <si>
    <t>OUVIDOR FREIRE - 485</t>
  </si>
  <si>
    <t xml:space="preserve">PARTICULAR </t>
  </si>
  <si>
    <t xml:space="preserve">ANA CAROLINA MARQUES ASSUNÇÃO </t>
  </si>
  <si>
    <t>SILVERIO BLOIS - 230</t>
  </si>
  <si>
    <t xml:space="preserve">MAIS </t>
  </si>
  <si>
    <t>ANGELA LEMOS</t>
  </si>
  <si>
    <t xml:space="preserve">ANDRE LUIS DA CUNHA </t>
  </si>
  <si>
    <t>LUIS DE DEUS DA SILVA - 4861</t>
  </si>
  <si>
    <t>MIRIAM MACHADO</t>
  </si>
  <si>
    <t>ITAMAR ORLANDO</t>
  </si>
  <si>
    <t>MARTIMINIANO FRANCISCO DE ANDRADE - 1810</t>
  </si>
  <si>
    <t>CAUÇÃO</t>
  </si>
  <si>
    <t xml:space="preserve">ISENTO </t>
  </si>
  <si>
    <t>JANAINA JACINTO DONZELI</t>
  </si>
  <si>
    <t>HORTENCIO MENDONÇA RIBEIRO - 856</t>
  </si>
  <si>
    <t xml:space="preserve"> SUPER</t>
  </si>
  <si>
    <t>CAROLINA CAMILO CORREIA</t>
  </si>
  <si>
    <t>JONAS EMANUEL ARAUJO</t>
  </si>
  <si>
    <t>BEATRIZ RODRIGUES DE PAULA - 2551</t>
  </si>
  <si>
    <t>JOSE ELIAS COSTA DA SILVEIRA</t>
  </si>
  <si>
    <t>PADRE ANCHIETA - 1563 - AP 602</t>
  </si>
  <si>
    <t>VALERIA CRISTINA PELLICCI DI STEPHANI</t>
  </si>
  <si>
    <t>KAIQUE RIBEIRO EVENCIO</t>
  </si>
  <si>
    <t>JOSE OSMAR LEITE - 520 - AP 12</t>
  </si>
  <si>
    <t>DIEGO RODRIGUES PAZETO</t>
  </si>
  <si>
    <t xml:space="preserve">LUIS FELIPE DA SILVA PAIVA </t>
  </si>
  <si>
    <t>MARIA FALEIROS - 1196</t>
  </si>
  <si>
    <t>PARTICULAR</t>
  </si>
  <si>
    <t xml:space="preserve">MARIA ANGELA MEZADRI SOARES MACHADO </t>
  </si>
  <si>
    <t>SAMPEN PNEUS</t>
  </si>
  <si>
    <t>JAIME TELLINE - 4860</t>
  </si>
  <si>
    <t>JOSE MARQUES BRAGA</t>
  </si>
  <si>
    <t>TIAGO DE OLIVEIRA ROSA</t>
  </si>
  <si>
    <t>JAIME MARTINS TRISTAO - 2549</t>
  </si>
  <si>
    <t>GOLD STANDART</t>
  </si>
  <si>
    <t>ALPHA CONTABILIDADE</t>
  </si>
  <si>
    <t>ELIZA VERZOLA GOSUEN - 2674</t>
  </si>
  <si>
    <t>GEORGINA BEATRIZ SANTOS CUNHA VIEIRA</t>
  </si>
  <si>
    <t>ANDRESA FERNANDA NASCIMENTO DA SILVA</t>
  </si>
  <si>
    <t>AMALIA PIMENTEL - 2488</t>
  </si>
  <si>
    <t>JANAINA SILVA MARTINS HUMBERTO</t>
  </si>
  <si>
    <t>CAROL RODRIGUES MALUF</t>
  </si>
  <si>
    <t>JOAO QUIRINO DE SOUZA - 1277 - BL 01 - AP 301</t>
  </si>
  <si>
    <t>DURVAL JOAQUIM DE CARVALHO</t>
  </si>
  <si>
    <t xml:space="preserve">CARENCIA </t>
  </si>
  <si>
    <t>CRYSTOW ADMINISTRADORA DE BENS LTDA</t>
  </si>
  <si>
    <t>SIMÃO CALEIRO - 2301</t>
  </si>
  <si>
    <t>TATIANA SAMPAIO NADAL</t>
  </si>
  <si>
    <t>DANILO FALEIROS MATEUS</t>
  </si>
  <si>
    <t>OSORIO ARANTES - 743</t>
  </si>
  <si>
    <t>ANA MERCEDES GARCIA SENNE</t>
  </si>
  <si>
    <t>ISENTO</t>
  </si>
  <si>
    <t>ESTHER DE OLIVEIRA BARBOSA</t>
  </si>
  <si>
    <t>JOAQUIM JERONIMO MELLO - 2359</t>
  </si>
  <si>
    <t>PEDRO LUIZ SILVA</t>
  </si>
  <si>
    <t xml:space="preserve">FABIANA MARIA DINIZ </t>
  </si>
  <si>
    <t>ANGELA ROSA SCARABUCCI - 2047</t>
  </si>
  <si>
    <t>MARIA LAURA DE LUCA SILVA FERNANDES</t>
  </si>
  <si>
    <t>GABRIEL HENRIQUE FERNANDES SILVA</t>
  </si>
  <si>
    <t>ANTONIO CONTINI - 960</t>
  </si>
  <si>
    <t xml:space="preserve">JOSE FRANCISCO NAVAS </t>
  </si>
  <si>
    <t xml:space="preserve">GABRIELA DE JESUS FERRAZ </t>
  </si>
  <si>
    <t>PADRE DONIZETE TAVARES DE LIMA - 1200</t>
  </si>
  <si>
    <t xml:space="preserve">GILMAR DE OLIVEIRA SANTOS </t>
  </si>
  <si>
    <t>HELIO PALERMO - 3051</t>
  </si>
  <si>
    <t>DIEGO ALVARENGA SILVA</t>
  </si>
  <si>
    <t>GIOVANE VIDAL ROSA</t>
  </si>
  <si>
    <t>JOAO ABRAO DA SILVA - 2248</t>
  </si>
  <si>
    <t>ALDA MARIA FERREIRA</t>
  </si>
  <si>
    <t>GUILHERME HENRIQUE RIBEIRO</t>
  </si>
  <si>
    <t>GERALDO RODRIGUES DE SOUZA - 6500</t>
  </si>
  <si>
    <t xml:space="preserve">IGOR MAGELA PERREIRA </t>
  </si>
  <si>
    <t>I.B.SYSTEM</t>
  </si>
  <si>
    <t>PAULO VI - 771 - 781</t>
  </si>
  <si>
    <t xml:space="preserve">IMPERYO CONSTRUÇOES </t>
  </si>
  <si>
    <t>FREDERICO OZANAN - 539</t>
  </si>
  <si>
    <t>JEFFERSON RIBEIRO MACHADO</t>
  </si>
  <si>
    <t>JOSE PEREIRA LIMA - 1651</t>
  </si>
  <si>
    <t>JERONIMO RIBEIRO</t>
  </si>
  <si>
    <t>JOSE BONIFACIO - 707 - AP 07</t>
  </si>
  <si>
    <t>MAIS</t>
  </si>
  <si>
    <t>JOANA DARC DA SILVEIRA</t>
  </si>
  <si>
    <t>ELIZA VERZOLA GOSUEN - 2426</t>
  </si>
  <si>
    <t>JOAO CELSO LEITE</t>
  </si>
  <si>
    <t>ATILIO SALMAZO - 1915 - AP 01</t>
  </si>
  <si>
    <t xml:space="preserve"> ESSENCIAL</t>
  </si>
  <si>
    <t>JOAO OTAVIO MENDES DA SILVA</t>
  </si>
  <si>
    <t>ANGELA ROSA SCARABUCCI - 2045 - FUNDOS</t>
  </si>
  <si>
    <t>JOAO PAULO ANANIAS</t>
  </si>
  <si>
    <t>ANTONIO DA SILVA SOBRINHO - 694</t>
  </si>
  <si>
    <t>LEONARDO RODRIGUES DE OLIVEIRA</t>
  </si>
  <si>
    <t>JOSE MARIA LEONARDO</t>
  </si>
  <si>
    <t>MARIO MAZINI - 1333</t>
  </si>
  <si>
    <t>S/FIADOR</t>
  </si>
  <si>
    <t>TARCISIO LEMOS</t>
  </si>
  <si>
    <t>JULIO CESAR MACEDO PEREIRA</t>
  </si>
  <si>
    <t>APARECIDA HELENA FERRACINI DA COSTA - 4361</t>
  </si>
  <si>
    <t>RAUL SILVA MENEGHETTI</t>
  </si>
  <si>
    <t>KAILAINY ANTTIELY FERREIRA</t>
  </si>
  <si>
    <t>JOAO QUIRINO DE SOUZA - 1395</t>
  </si>
  <si>
    <t>KEILA DIOLINA DE OLIVEIRA</t>
  </si>
  <si>
    <t>FREDERICO OZANAN - 535</t>
  </si>
  <si>
    <t>LINDA MIRTES SILVA</t>
  </si>
  <si>
    <t>TEREZA TORTORELI PALERMO - 3332 - FUNDO</t>
  </si>
  <si>
    <t>CLAUDIA PIRES LEMOS</t>
  </si>
  <si>
    <t>LUCILENE FERREIRA DE PAULA</t>
  </si>
  <si>
    <t>MARECHAL DEODORO - 2100 - AP: 61</t>
  </si>
  <si>
    <t>SONIA APARECIDA GARCIA MATRICARDI</t>
  </si>
  <si>
    <t>LUIS CARLOS ALEXANDRE</t>
  </si>
  <si>
    <t>ARNALDO RICARDO DE SOUZA - 2515</t>
  </si>
  <si>
    <t xml:space="preserve">NEUZA MACHADO </t>
  </si>
  <si>
    <t xml:space="preserve">MARCO FRANCISCO DA SILVA </t>
  </si>
  <si>
    <t>MARIA DEL CARMEM EGEA NAVARRO - 1752</t>
  </si>
  <si>
    <t>JOSE DAS GRAÇAS SICARONI</t>
  </si>
  <si>
    <t>MARIA APARECIDA REIS ALVES DE FARIA</t>
  </si>
  <si>
    <t>ORESTES TRISTAO - 802</t>
  </si>
  <si>
    <t xml:space="preserve">ONEIDE FALEIROS DA COSTA </t>
  </si>
  <si>
    <t>MARIA CRISTINA PINHEIRO</t>
  </si>
  <si>
    <t>ZEFERINO COSTA - 1000</t>
  </si>
  <si>
    <t>MARIANA GAVA BALBINO</t>
  </si>
  <si>
    <t>JOSE MOISES PEREIRA - 1995 - BL 07 - AP 42</t>
  </si>
  <si>
    <t>MARINA DE ALMEIDA NEVES</t>
  </si>
  <si>
    <t>JAIME TRISTAO - 2403 - AP 12</t>
  </si>
  <si>
    <t xml:space="preserve">MAURO ANTONIO PERARO </t>
  </si>
  <si>
    <t>JOSE NAVARRO - 5571</t>
  </si>
  <si>
    <t xml:space="preserve">LAURA CLELIA DE LUCA GARCIA </t>
  </si>
  <si>
    <t>NATALIA DE OLIVERA BARROS</t>
  </si>
  <si>
    <t>TEOTONIO VILELA - 3127 - AP: 12</t>
  </si>
  <si>
    <t xml:space="preserve">2025 - ISE </t>
  </si>
  <si>
    <t>ODAHIL RODRIGUES DE OLIVEIRA</t>
  </si>
  <si>
    <t>ANTONIO LOPES DE MELO - 1775</t>
  </si>
  <si>
    <t>RENATO NOGUEIRA - ZILDA NOGUEIRA</t>
  </si>
  <si>
    <t>ONEIDE LOURDES DE ALVARENGA FARIA</t>
  </si>
  <si>
    <t>ELIZA VERZOLA GOSUEN - 2604</t>
  </si>
  <si>
    <t>OTAVIO ISAMU KATSUNO</t>
  </si>
  <si>
    <t>THEREZA MOSCARDINI - 740 - AP 03</t>
  </si>
  <si>
    <t>FABIANA ELI -  LUIS FERNANDO SANTOS SILVA</t>
  </si>
  <si>
    <t>PASCOALINO PEREIRA COUTINHO</t>
  </si>
  <si>
    <t>COMERCIO - 2000 - AP 204</t>
  </si>
  <si>
    <t>9010 - 9011</t>
  </si>
  <si>
    <t>BRIVALDO ARAUJO NASCIMENTO</t>
  </si>
  <si>
    <t>REBECA PIRES NEVES SOUZA</t>
  </si>
  <si>
    <t>TEREZA TORTORELI PALERMO - 3334 - FRENTE</t>
  </si>
  <si>
    <t>REINALDO HONORIO TOLEDO</t>
  </si>
  <si>
    <t>ZECA DE PAULA - 798 - BL 03 - AP 403</t>
  </si>
  <si>
    <t>MARIA AP - RAQUEL FONSECA DE MELO RODRIGUES</t>
  </si>
  <si>
    <t>ROSELI IMACULADA</t>
  </si>
  <si>
    <t>CARLOS GOMES - 1170</t>
  </si>
  <si>
    <t xml:space="preserve">CONCEIÇÃO APARECIDA DA SILVA </t>
  </si>
  <si>
    <t>SANDRA CRISTINA</t>
  </si>
  <si>
    <t xml:space="preserve">NOVE DE JULHO - 1951 </t>
  </si>
  <si>
    <t>CONCEIÇÃO APARECIDA DA SILVA</t>
  </si>
  <si>
    <t>VINICIUS VERISSIMO CINTRA</t>
  </si>
  <si>
    <t>SAO TOMAS DE AQUINO - 923</t>
  </si>
  <si>
    <t>WANDER LUCIO SOUZA DE MASCARENHAS</t>
  </si>
  <si>
    <t>ALFERES MANOEL MARQUES CARVALHO - 3115</t>
  </si>
  <si>
    <t>RONE SILVEIRA GARCIA</t>
  </si>
  <si>
    <t>ANA MARIA APOLINARIO FELIZARDO</t>
  </si>
  <si>
    <t>DAMIÃO BARRETI - 2797</t>
  </si>
  <si>
    <t xml:space="preserve">ESSENCIAL </t>
  </si>
  <si>
    <t>BARBEARIA DSANTOS</t>
  </si>
  <si>
    <t>CHICO JULIO - 3000/3002</t>
  </si>
  <si>
    <t xml:space="preserve">LUIS FERNANDO LOURENÇO </t>
  </si>
  <si>
    <t xml:space="preserve">BORGES E GARCIA </t>
  </si>
  <si>
    <t>HIPOLITO ANTONIO PINHEIRO - 3810</t>
  </si>
  <si>
    <t xml:space="preserve">JOSE CARLOS DA SILVA MEDEIROS </t>
  </si>
  <si>
    <t xml:space="preserve">CAMILA CRISTINA TAVARES DA SILVA </t>
  </si>
  <si>
    <t>MARIA JOSE LOVO VOLPE - 6730</t>
  </si>
  <si>
    <t>VINICIUS DE CARVALHO FROES</t>
  </si>
  <si>
    <t xml:space="preserve">DJORGENES OLIVEIRA MARTINS </t>
  </si>
  <si>
    <t>THOMAS GONZAGA - 2126</t>
  </si>
  <si>
    <t>IVAN RUBENS ROSSATO MERLINO</t>
  </si>
  <si>
    <t>GUILHERME COPROSKI</t>
  </si>
  <si>
    <t>RIBEIRAO PRETO - 308</t>
  </si>
  <si>
    <t>LUZIANO GUEDES MENDES</t>
  </si>
  <si>
    <t>FREDERICO OZANAM - 537</t>
  </si>
  <si>
    <t>MARIA APARECIDA LAZARINI PIMENTA</t>
  </si>
  <si>
    <t>ALBERTO LEITE LEMOS - 1489</t>
  </si>
  <si>
    <t>NYCOLAS CUNHA</t>
  </si>
  <si>
    <t>THEREZA MOSCARDINI - 740 - AP 01</t>
  </si>
  <si>
    <t xml:space="preserve">LAZARO ALVES DA SILVA </t>
  </si>
  <si>
    <t>OTAVIO RANTER DE OLIVEIRA</t>
  </si>
  <si>
    <t>GONÇALVES DIAS - 2615</t>
  </si>
  <si>
    <t>MS MARÇAL</t>
  </si>
  <si>
    <t>ROGERIO BENEDITO DA SILVA</t>
  </si>
  <si>
    <t>JOSE NOGUEIRA - 140</t>
  </si>
  <si>
    <t>SELMA APARECIDA MESSIAS DE OLIVEIRA</t>
  </si>
  <si>
    <t>MARIA FALEIROS - 1219</t>
  </si>
  <si>
    <t>ANA BEATRIZ CAPRIOLI</t>
  </si>
  <si>
    <t>SUELLEN CRISTINA PEREIRA</t>
  </si>
  <si>
    <t>FRANCISCO DE PAULA SILVEIRA - 1460</t>
  </si>
  <si>
    <t>VANDERLEI DE JESUS ZANETTI</t>
  </si>
  <si>
    <t>THIAGO OLIVEIRA SANTUCCI</t>
  </si>
  <si>
    <t>DAS CIENCIAS - 631</t>
  </si>
  <si>
    <t>MARCIO LUCIO CHAGAS</t>
  </si>
  <si>
    <t>AILA CAROLINE BRANDAO GENEBRA</t>
  </si>
  <si>
    <t>MACEIO - 780</t>
  </si>
  <si>
    <t>WALTER DE SOUZA</t>
  </si>
  <si>
    <t>ALYNE HOTH TRINDADE</t>
  </si>
  <si>
    <t>PADRE ANCHIETA - 1356 - AP 162</t>
  </si>
  <si>
    <t>CAPANEMA ADMINISTRAÇÃO DE BENS</t>
  </si>
  <si>
    <t xml:space="preserve">ANA PAULA DE CASTRO </t>
  </si>
  <si>
    <t>ALBERTO SCHIRATO - 977</t>
  </si>
  <si>
    <t>ANABRISA TAMASO MAGALHAES</t>
  </si>
  <si>
    <t>CLEMENTE MARQUES - 1326</t>
  </si>
  <si>
    <t>ARGEO PASTI</t>
  </si>
  <si>
    <t>JOAO QUIRINO DE SOUZA - 1277 - BL 04 - AP 201</t>
  </si>
  <si>
    <t>MARIA CECILIA DE SOUSA</t>
  </si>
  <si>
    <t>BRANDOON CORREA ALVAREZ</t>
  </si>
  <si>
    <t>NELSON VIARIO - 3797 - AP 13</t>
  </si>
  <si>
    <t>MURILLO PIMENTEL RODRIGUES</t>
  </si>
  <si>
    <t>CAMILA RODRIGUES ALVES JUNQUEIRA</t>
  </si>
  <si>
    <t>LIBERO BADARO - 1308 - SL 02</t>
  </si>
  <si>
    <t>MARCIA FERRARO DRIGO</t>
  </si>
  <si>
    <t>CAROLINA DE SOUSA SIQUEIRA</t>
  </si>
  <si>
    <t>LIBERO BADARO - 1308 - SL 04</t>
  </si>
  <si>
    <t>CELIO VITOR GOMES</t>
  </si>
  <si>
    <t>DO COMERCIO - 2000 - AP 104</t>
  </si>
  <si>
    <t xml:space="preserve">BRIVALDO ARAUJO NASCIMENTO </t>
  </si>
  <si>
    <t xml:space="preserve">CLAYTON DE ANDRADE FERNANDES </t>
  </si>
  <si>
    <t>NAIF ABRAO - 2820</t>
  </si>
  <si>
    <t>CLEAR LINES</t>
  </si>
  <si>
    <t>CLERESTON VINICIUS JESUS LACERDA</t>
  </si>
  <si>
    <t>JOSE RODRIGUES DA COSTA SOBRINHO - 2245</t>
  </si>
  <si>
    <t>JOEL DE FREITAS BRAZ</t>
  </si>
  <si>
    <t>DANIEL FRANCISCO - HELLEN</t>
  </si>
  <si>
    <t>GENERAL CARNEIRO - 1175</t>
  </si>
  <si>
    <t>FAMILIA HADDAD</t>
  </si>
  <si>
    <t xml:space="preserve">DANIELA DA SILVA MARQUES GARCIA </t>
  </si>
  <si>
    <t>CASSER AZIZ - 4591 - AP 11</t>
  </si>
  <si>
    <t xml:space="preserve">MARIA ANA CINTRA DE FREITAS </t>
  </si>
  <si>
    <t>DENIS EDUARDO CARDOSO</t>
  </si>
  <si>
    <t>FRANCISCO CRIZOL DONHA - 2531</t>
  </si>
  <si>
    <t>FERG SERVIÇOS DE MARKETING</t>
  </si>
  <si>
    <t xml:space="preserve">ELZA NICEZIODE BARROS FRANCISCO </t>
  </si>
  <si>
    <t>JOAO URIAS PIMENTA - 4210</t>
  </si>
  <si>
    <t>ANGELA MARIA PIRES LEMOS DE ANDRADE</t>
  </si>
  <si>
    <t>ESCOLA ARTE COLORIDA</t>
  </si>
  <si>
    <t>AFONSO PENA - 1282</t>
  </si>
  <si>
    <t xml:space="preserve">SAL Y LUZ EMPREENDIMENTOS </t>
  </si>
  <si>
    <t xml:space="preserve">EVERTON LUIS DE OLIVEIRA SEIXAS </t>
  </si>
  <si>
    <t>RITA ROCHA VIEIRA - 820</t>
  </si>
  <si>
    <t>CARLOS ROMERO PAIM</t>
  </si>
  <si>
    <t>HEMILY COSTA CORIMBARA</t>
  </si>
  <si>
    <t xml:space="preserve">JOAO QUIRINO DE SOUZA - 1266 </t>
  </si>
  <si>
    <t>ILZA ALVES DA SILVA FERREIRA</t>
  </si>
  <si>
    <t>MARIO MAZINI - 1331</t>
  </si>
  <si>
    <t>JANETE CRISTINA ALVES MACHADO</t>
  </si>
  <si>
    <t>VENEZUELA - 1314</t>
  </si>
  <si>
    <t xml:space="preserve">JONAS FARIA DOS SANTOS </t>
  </si>
  <si>
    <t>CESARIO JOAO CARETA - 3260</t>
  </si>
  <si>
    <t>JULIANA STEFANI ANTUNES BORASCHI</t>
  </si>
  <si>
    <t>EUCLIDES VIEIRA COELHO - 3437</t>
  </si>
  <si>
    <t>JORGE FRANCISCO ARAUJO FRANÇA</t>
  </si>
  <si>
    <t xml:space="preserve">JULIANO MARTINS DA CRUZ </t>
  </si>
  <si>
    <t>JUSTINO ALVES TAVEIRA - 3760</t>
  </si>
  <si>
    <t xml:space="preserve">LETICIA BORGES NASCIMENTO RIBEIRO </t>
  </si>
  <si>
    <t>LET LINHAS</t>
  </si>
  <si>
    <t>JOSE RODRIGUES DA COSTA SOBRINHO - 2255</t>
  </si>
  <si>
    <t>VCPAR CONTRUTORA LTDA - MARCOS PARRA</t>
  </si>
  <si>
    <t>LETICIA MACHEL LOVO</t>
  </si>
  <si>
    <t>IBIRACI - 928 - AP 01</t>
  </si>
  <si>
    <t>LUCAS FRANCISCO BOTELHO</t>
  </si>
  <si>
    <t>MARIA FALEIROS - 1271</t>
  </si>
  <si>
    <t>LUCIA ELENA DE OLIVEIRA</t>
  </si>
  <si>
    <t>JOSE REIS MIRANDA FILHO - 1676</t>
  </si>
  <si>
    <t xml:space="preserve">WALDOMIRO MACHADO </t>
  </si>
  <si>
    <t>LUIS CARLOS LIMA</t>
  </si>
  <si>
    <t>JOSE JOAQUIM DA ROCHA - 5777</t>
  </si>
  <si>
    <t>MARCOS ALVES FRANCO</t>
  </si>
  <si>
    <t>SÃO SEBASTIAO DO PARAISO - 683</t>
  </si>
  <si>
    <t>FRANCISCA LAURA DE LUCA</t>
  </si>
  <si>
    <t>NOEMIA PIRES LEMOS DA SILVA</t>
  </si>
  <si>
    <t>TABELIAO GALDENCIO LOPES JUNIOR - 1362</t>
  </si>
  <si>
    <t xml:space="preserve">PEDRO CHEHOUD DE CASTRO </t>
  </si>
  <si>
    <t>FUED ZACARIAS CURY - 748</t>
  </si>
  <si>
    <t>LUZIA FRANCISCA DOS REIS RODRIGUES</t>
  </si>
  <si>
    <t>RAFAELA CRISTINA ROSA</t>
  </si>
  <si>
    <t>JOSE ABRAO DA SILVA - 2244</t>
  </si>
  <si>
    <t>RAQUEL FERREIRA LOPES</t>
  </si>
  <si>
    <t>ROSA MARIA BUENO</t>
  </si>
  <si>
    <t>PAULO DUARTE - 564</t>
  </si>
  <si>
    <t>DINA THEREZA PIMENTEL DE ALMEIDA</t>
  </si>
  <si>
    <t>TANIA PUGLIERI PASSULD</t>
  </si>
  <si>
    <t>THEREZA MOSCARDINI - 740 - AP 02</t>
  </si>
  <si>
    <t>FABIANA ELISA SANTOS SILVA - TALES</t>
  </si>
  <si>
    <t>VINICIUS MOTA CORREA DE SOUZA</t>
  </si>
  <si>
    <t>DECIO PIOLA - 5031 - AP 01</t>
  </si>
  <si>
    <t>JOSE CARETA</t>
  </si>
  <si>
    <t>WELLINGTON ARAUJO MARTINS</t>
  </si>
  <si>
    <t>PEDRO CALANDRIA FERNANDES - 3126</t>
  </si>
  <si>
    <t>LUCAS RAMOS</t>
  </si>
  <si>
    <t xml:space="preserve">ELIO FLORIANO </t>
  </si>
  <si>
    <t>GERALDO GOMES DE SOUZA - 671</t>
  </si>
  <si>
    <t xml:space="preserve">DILSON CUSTODIO DA SILVA </t>
  </si>
  <si>
    <t xml:space="preserve">GENESIO ANTONIO LUIS </t>
  </si>
  <si>
    <t>ALBERTO SCHIRATO - 979</t>
  </si>
  <si>
    <t>GERMANO DE SOUZA MARTIMINIANO</t>
  </si>
  <si>
    <t>COUTO MAGALHAES - 697</t>
  </si>
  <si>
    <t>MARIA AUXILIADORA TOFETTI</t>
  </si>
  <si>
    <t>DO COMERCIO - 2000 - AP 106</t>
  </si>
  <si>
    <t>TONYMAR BARBOSA DE ANDRADE</t>
  </si>
  <si>
    <t>ELIZA VERZOLA GOSUEN - 2422</t>
  </si>
  <si>
    <t>INADIMPLENCIA</t>
  </si>
  <si>
    <t>TOTAL GERAL</t>
  </si>
  <si>
    <t>HOSPITAL DO CANCER</t>
  </si>
  <si>
    <t>FRANCISCO DE ASSIS</t>
  </si>
  <si>
    <t xml:space="preserve">MULTA / DIAS </t>
  </si>
  <si>
    <t>07/10/2025 - REF 09</t>
  </si>
  <si>
    <t>08/10/2025 - REF 09</t>
  </si>
  <si>
    <t>1.30</t>
  </si>
  <si>
    <t>10/10/2025 - REF 09</t>
  </si>
  <si>
    <t>13/10/2025 - REF 09</t>
  </si>
  <si>
    <t>10/10/2025 - SICOOB</t>
  </si>
  <si>
    <t xml:space="preserve">20/10/2025 - SICOOB SÓ CADASTRO </t>
  </si>
  <si>
    <t>ANA FLAVIA ALVES SILVA E LAUANY</t>
  </si>
  <si>
    <t>17/10/2025 - REF 09</t>
  </si>
  <si>
    <t>V</t>
  </si>
  <si>
    <t>PALACIO DAS TINTAS</t>
  </si>
  <si>
    <t xml:space="preserve">20 DIAS </t>
  </si>
  <si>
    <t xml:space="preserve">RESCISÃO </t>
  </si>
  <si>
    <t>CLAYTON DE ANDRADE</t>
  </si>
  <si>
    <t>PEDRO PATROCINIO - SÃO JOSE</t>
  </si>
  <si>
    <t xml:space="preserve">JDD </t>
  </si>
  <si>
    <t>NAIF ABRÃO</t>
  </si>
  <si>
    <t>GABRIELA SILVA BENVENUTTI</t>
  </si>
  <si>
    <t>FRANCISCO DE PAULA DA SILVEIRA - 1465</t>
  </si>
  <si>
    <t>INES SOARES</t>
  </si>
  <si>
    <t>CESAR HENRIQUE VIEIRA</t>
  </si>
  <si>
    <t>RUA DAS TULIPAS - 331</t>
  </si>
  <si>
    <t>SABESP - TOMAS - MENEGHETTI</t>
  </si>
  <si>
    <t>27/10/2025 - REF 08</t>
  </si>
  <si>
    <t>27/10/2025 - REF 09</t>
  </si>
  <si>
    <t>MIRIAM MACHADO - NZ</t>
  </si>
  <si>
    <t xml:space="preserve">COND - EDIFICIO ESTRELA </t>
  </si>
  <si>
    <t xml:space="preserve">REPASSES </t>
  </si>
  <si>
    <t>DESPESAS</t>
  </si>
  <si>
    <t xml:space="preserve">TOTAL GERAL </t>
  </si>
  <si>
    <t xml:space="preserve">CREDPAGO </t>
  </si>
  <si>
    <t xml:space="preserve">CAUÇÃO </t>
  </si>
  <si>
    <t>JOICE MAIRA DE SOUZA</t>
  </si>
  <si>
    <t>JORNALISTA ANGELO ZANUZZI - 590</t>
  </si>
  <si>
    <t>JOSE FRANCISCO MAZEU FILHO</t>
  </si>
  <si>
    <t>SEGIMOB - 19/04/28</t>
  </si>
  <si>
    <t>TIAGO DA SILVA PATRICK VILAS BOAS</t>
  </si>
  <si>
    <t>JOSE ALMEIDA SOUZA - 5881</t>
  </si>
  <si>
    <t xml:space="preserve">GIOVAINE PATRICK DE OLIVEIRA </t>
  </si>
  <si>
    <t>05/11/2025 - SICOOB</t>
  </si>
  <si>
    <t>20/11/2025 - SICOOB</t>
  </si>
  <si>
    <t xml:space="preserve">LETICIA CARRION BISCARO </t>
  </si>
  <si>
    <t>LUIS LEPORACI - 1315 - AP 302</t>
  </si>
  <si>
    <t>ALESSANDRA ALVES</t>
  </si>
  <si>
    <t>2025 - ISE</t>
  </si>
  <si>
    <t>BALANÇO</t>
  </si>
  <si>
    <t>MULTAS</t>
  </si>
  <si>
    <t>TOTAL TAXAS E MULTAS:</t>
  </si>
  <si>
    <t xml:space="preserve">BALANÇO </t>
  </si>
  <si>
    <t xml:space="preserve">TAXA ADMINISTRATIVA INADIMPLENCIA </t>
  </si>
  <si>
    <t>IMOB</t>
  </si>
  <si>
    <t xml:space="preserve">TOTAL RECEBIDO DE TX E PARC ACORDO </t>
  </si>
  <si>
    <t xml:space="preserve">TOTAL MULTA / JUROS - IMOB </t>
  </si>
  <si>
    <t>TAXA ADMINISTRATIVA e 1 ALUGUEL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</si>
</sst>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FF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13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4" fontId="2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6" borderId="1" xfId="0" applyFont="1" applyFill="1" applyBorder="1" applyAlignment="1">
      <alignment horizontal="center" vertical="center"/>
    </xf>
    <xf numFmtId="44" fontId="2" fillId="6" borderId="1" xfId="0" applyNumberFormat="1" applyFont="1" applyFill="1" applyBorder="1" applyAlignment="1">
      <alignment horizontal="center" vertical="center"/>
    </xf>
    <xf numFmtId="44" fontId="3" fillId="4" borderId="1" xfId="0" applyNumberFormat="1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6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2" fillId="4" borderId="1" xfId="0" applyFont="1" applyFill="1" applyBorder="1"/>
    <xf numFmtId="4" fontId="0" fillId="0" borderId="0" xfId="0" applyNumberFormat="1"/>
    <xf numFmtId="0" fontId="0" fillId="7" borderId="1" xfId="0" applyFill="1" applyBorder="1"/>
    <xf numFmtId="44" fontId="0" fillId="7" borderId="1" xfId="0" applyNumberForma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44" fontId="6" fillId="0" borderId="1" xfId="0" applyNumberFormat="1" applyFont="1" applyBorder="1"/>
    <xf numFmtId="0" fontId="5" fillId="8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5D7C-50B6-4F58-BD34-F5192D1EA3B6}">
  <dimension ref="A1:Q151"/>
  <sheetViews>
    <sheetView topLeftCell="A97" workbookViewId="0">
      <selection activeCell="G130" sqref="G130"/>
    </sheetView>
  </sheetViews>
  <sheetFormatPr defaultRowHeight="15" x14ac:dyDescent="0.25"/>
  <cols>
    <col min="1" max="1" width="31.5703125" bestFit="1" customWidth="1"/>
    <col min="2" max="2" width="13.28515625" bestFit="1" customWidth="1"/>
    <col min="3" max="3" width="10.7109375" bestFit="1" customWidth="1"/>
    <col min="4" max="4" width="6.42578125" bestFit="1" customWidth="1"/>
    <col min="5" max="5" width="9.28515625" bestFit="1" customWidth="1"/>
    <col min="6" max="6" width="9.85546875" bestFit="1" customWidth="1"/>
    <col min="7" max="7" width="29.85546875" bestFit="1" customWidth="1"/>
    <col min="8" max="8" width="32.42578125" bestFit="1" customWidth="1"/>
    <col min="9" max="9" width="14.42578125" bestFit="1" customWidth="1"/>
    <col min="10" max="10" width="10.85546875" bestFit="1" customWidth="1"/>
    <col min="11" max="11" width="12" bestFit="1" customWidth="1"/>
    <col min="12" max="12" width="10" bestFit="1" customWidth="1"/>
    <col min="13" max="13" width="34.28515625" bestFit="1" customWidth="1"/>
    <col min="14" max="14" width="9.28515625" bestFit="1" customWidth="1"/>
    <col min="15" max="15" width="14.7109375" bestFit="1" customWidth="1"/>
    <col min="16" max="16" width="10.85546875" bestFit="1" customWidth="1"/>
    <col min="17" max="17" width="10.28515625" bestFit="1" customWidth="1"/>
    <col min="18" max="18" width="15.85546875" bestFit="1" customWidth="1"/>
  </cols>
  <sheetData>
    <row r="1" spans="1:17" x14ac:dyDescent="0.25">
      <c r="A1" s="23" t="s">
        <v>39</v>
      </c>
      <c r="B1" s="23" t="s">
        <v>1</v>
      </c>
      <c r="C1" s="23" t="s">
        <v>83</v>
      </c>
      <c r="D1" s="23" t="s">
        <v>84</v>
      </c>
      <c r="E1" s="23" t="s">
        <v>85</v>
      </c>
      <c r="F1" s="23" t="s">
        <v>8</v>
      </c>
      <c r="G1" s="23" t="s">
        <v>0</v>
      </c>
      <c r="H1" s="23" t="s">
        <v>86</v>
      </c>
      <c r="I1" s="23" t="s">
        <v>87</v>
      </c>
      <c r="J1" s="23" t="s">
        <v>88</v>
      </c>
      <c r="K1" s="23" t="s">
        <v>89</v>
      </c>
      <c r="L1" s="23" t="s">
        <v>90</v>
      </c>
      <c r="M1" s="23" t="s">
        <v>91</v>
      </c>
      <c r="N1" s="23" t="s">
        <v>85</v>
      </c>
      <c r="O1" s="23" t="s">
        <v>10</v>
      </c>
      <c r="P1" s="23" t="s">
        <v>92</v>
      </c>
      <c r="Q1" s="23" t="s">
        <v>125</v>
      </c>
    </row>
    <row r="2" spans="1:17" x14ac:dyDescent="0.25">
      <c r="A2" s="29">
        <v>45931</v>
      </c>
      <c r="B2" s="26">
        <v>2471.86</v>
      </c>
      <c r="C2" s="26">
        <f>SUM(B2*10%)</f>
        <v>247.18600000000004</v>
      </c>
      <c r="D2" s="25">
        <v>173</v>
      </c>
      <c r="E2" s="29">
        <v>45931</v>
      </c>
      <c r="F2" s="26">
        <v>0</v>
      </c>
      <c r="G2" s="25" t="s">
        <v>126</v>
      </c>
      <c r="H2" s="25" t="s">
        <v>127</v>
      </c>
      <c r="I2" s="25" t="s">
        <v>109</v>
      </c>
      <c r="J2" s="25" t="s">
        <v>128</v>
      </c>
      <c r="K2" s="29">
        <v>46065</v>
      </c>
      <c r="L2" s="25">
        <v>150318</v>
      </c>
      <c r="M2" s="25" t="s">
        <v>129</v>
      </c>
      <c r="N2" s="25" t="s">
        <v>130</v>
      </c>
      <c r="O2" s="25" t="s">
        <v>130</v>
      </c>
      <c r="P2" s="29" t="s">
        <v>130</v>
      </c>
      <c r="Q2" s="25" t="s">
        <v>130</v>
      </c>
    </row>
    <row r="3" spans="1:17" x14ac:dyDescent="0.25">
      <c r="A3" s="4">
        <v>45931</v>
      </c>
      <c r="B3" s="6">
        <v>426.16</v>
      </c>
      <c r="C3" s="6">
        <f>SUM(B3*10%)</f>
        <v>42.616000000000007</v>
      </c>
      <c r="D3" s="3">
        <v>20</v>
      </c>
      <c r="E3" s="4">
        <v>45945</v>
      </c>
      <c r="F3" s="6">
        <v>46.19</v>
      </c>
      <c r="G3" s="3" t="s">
        <v>131</v>
      </c>
      <c r="H3" s="3" t="s">
        <v>132</v>
      </c>
      <c r="I3" s="3" t="s">
        <v>133</v>
      </c>
      <c r="J3" s="3" t="s">
        <v>105</v>
      </c>
      <c r="K3" s="4">
        <v>46259</v>
      </c>
      <c r="L3" s="3">
        <v>22138</v>
      </c>
      <c r="M3" s="3" t="s">
        <v>134</v>
      </c>
      <c r="N3" s="3">
        <v>17</v>
      </c>
      <c r="O3" s="4">
        <v>45947</v>
      </c>
      <c r="P3" s="4">
        <v>45992</v>
      </c>
      <c r="Q3" s="3" t="s">
        <v>106</v>
      </c>
    </row>
    <row r="4" spans="1:17" x14ac:dyDescent="0.25">
      <c r="A4" s="19"/>
      <c r="B4" s="18"/>
      <c r="C4" s="18"/>
      <c r="D4" s="20"/>
      <c r="E4" s="19"/>
      <c r="F4" s="18"/>
      <c r="G4" s="20"/>
      <c r="H4" s="20"/>
      <c r="I4" s="20"/>
      <c r="J4" s="20"/>
      <c r="K4" s="19"/>
      <c r="L4" s="20"/>
      <c r="M4" s="20"/>
      <c r="N4" s="20"/>
      <c r="O4" s="19"/>
      <c r="P4" s="19"/>
      <c r="Q4" s="20"/>
    </row>
    <row r="5" spans="1:17" x14ac:dyDescent="0.25">
      <c r="A5" s="4">
        <v>45935</v>
      </c>
      <c r="B5" s="6">
        <v>1200</v>
      </c>
      <c r="C5" s="6">
        <f t="shared" ref="C5:C10" si="0">SUM(B5*10%)</f>
        <v>120</v>
      </c>
      <c r="D5" s="3">
        <v>5</v>
      </c>
      <c r="E5" s="4">
        <v>45936</v>
      </c>
      <c r="F5" s="6">
        <v>0</v>
      </c>
      <c r="G5" s="3" t="s">
        <v>135</v>
      </c>
      <c r="H5" s="3" t="s">
        <v>136</v>
      </c>
      <c r="I5" s="3" t="s">
        <v>109</v>
      </c>
      <c r="J5" s="3" t="s">
        <v>137</v>
      </c>
      <c r="K5" s="4">
        <v>46147</v>
      </c>
      <c r="L5" s="3">
        <v>156760</v>
      </c>
      <c r="M5" s="3" t="s">
        <v>23</v>
      </c>
      <c r="N5" s="3">
        <v>27</v>
      </c>
      <c r="O5" s="4">
        <v>45957</v>
      </c>
      <c r="P5" s="4">
        <v>45996</v>
      </c>
      <c r="Q5" s="3" t="s">
        <v>106</v>
      </c>
    </row>
    <row r="6" spans="1:17" x14ac:dyDescent="0.25">
      <c r="A6" s="4">
        <v>45935</v>
      </c>
      <c r="B6" s="6">
        <v>1276.49</v>
      </c>
      <c r="C6" s="6">
        <f t="shared" si="0"/>
        <v>127.649</v>
      </c>
      <c r="D6" s="3">
        <v>99</v>
      </c>
      <c r="E6" s="4">
        <v>45936</v>
      </c>
      <c r="F6" s="6">
        <v>0</v>
      </c>
      <c r="G6" s="3" t="s">
        <v>138</v>
      </c>
      <c r="H6" s="3" t="s">
        <v>139</v>
      </c>
      <c r="I6" s="3" t="s">
        <v>109</v>
      </c>
      <c r="J6" s="3" t="s">
        <v>140</v>
      </c>
      <c r="K6" s="4">
        <v>46268</v>
      </c>
      <c r="L6" s="3">
        <v>51036</v>
      </c>
      <c r="M6" s="3" t="s">
        <v>141</v>
      </c>
      <c r="N6" s="3">
        <v>17</v>
      </c>
      <c r="O6" s="4">
        <v>45947</v>
      </c>
      <c r="P6" s="4">
        <v>45996</v>
      </c>
      <c r="Q6" s="3" t="s">
        <v>106</v>
      </c>
    </row>
    <row r="7" spans="1:17" x14ac:dyDescent="0.25">
      <c r="A7" s="4">
        <v>45935</v>
      </c>
      <c r="B7" s="6">
        <v>1068.93</v>
      </c>
      <c r="C7" s="6">
        <f t="shared" si="0"/>
        <v>106.89300000000001</v>
      </c>
      <c r="D7" s="3">
        <v>25</v>
      </c>
      <c r="E7" s="4">
        <v>45936</v>
      </c>
      <c r="F7" s="6">
        <v>0</v>
      </c>
      <c r="G7" s="3" t="s">
        <v>142</v>
      </c>
      <c r="H7" s="3" t="s">
        <v>143</v>
      </c>
      <c r="I7" s="3" t="s">
        <v>109</v>
      </c>
      <c r="J7" s="3" t="s">
        <v>105</v>
      </c>
      <c r="K7" s="4">
        <v>46081</v>
      </c>
      <c r="L7" s="3">
        <v>105567</v>
      </c>
      <c r="M7" s="3" t="s">
        <v>144</v>
      </c>
      <c r="N7" s="3">
        <v>27</v>
      </c>
      <c r="O7" s="4">
        <v>45957</v>
      </c>
      <c r="P7" s="4">
        <v>45996</v>
      </c>
      <c r="Q7" s="3" t="s">
        <v>106</v>
      </c>
    </row>
    <row r="8" spans="1:17" x14ac:dyDescent="0.25">
      <c r="A8" s="4">
        <v>45935</v>
      </c>
      <c r="B8" s="6">
        <v>1425.33</v>
      </c>
      <c r="C8" s="6">
        <f t="shared" si="0"/>
        <v>142.53299999999999</v>
      </c>
      <c r="D8" s="3">
        <v>34</v>
      </c>
      <c r="E8" s="4">
        <v>45936</v>
      </c>
      <c r="F8" s="6">
        <v>0</v>
      </c>
      <c r="G8" s="3" t="s">
        <v>145</v>
      </c>
      <c r="H8" s="3" t="s">
        <v>146</v>
      </c>
      <c r="I8" s="3" t="s">
        <v>147</v>
      </c>
      <c r="J8" s="3" t="s">
        <v>105</v>
      </c>
      <c r="K8" s="4">
        <v>46029</v>
      </c>
      <c r="L8" s="3">
        <v>285824</v>
      </c>
      <c r="M8" s="3" t="s">
        <v>469</v>
      </c>
      <c r="N8" s="3">
        <v>27</v>
      </c>
      <c r="O8" s="4">
        <v>45957</v>
      </c>
      <c r="P8" s="4">
        <v>45966</v>
      </c>
      <c r="Q8" s="3" t="s">
        <v>148</v>
      </c>
    </row>
    <row r="9" spans="1:17" x14ac:dyDescent="0.25">
      <c r="A9" s="4">
        <v>45935</v>
      </c>
      <c r="B9" s="6">
        <v>976.68</v>
      </c>
      <c r="C9" s="6">
        <f t="shared" si="0"/>
        <v>97.668000000000006</v>
      </c>
      <c r="D9" s="3">
        <v>39</v>
      </c>
      <c r="E9" s="4">
        <v>45936</v>
      </c>
      <c r="F9" s="6">
        <v>0</v>
      </c>
      <c r="G9" s="3" t="s">
        <v>149</v>
      </c>
      <c r="H9" s="3" t="s">
        <v>150</v>
      </c>
      <c r="I9" s="3"/>
      <c r="J9" s="3" t="s">
        <v>151</v>
      </c>
      <c r="K9" s="4">
        <v>46247</v>
      </c>
      <c r="L9" s="3">
        <v>61703</v>
      </c>
      <c r="M9" s="3" t="s">
        <v>152</v>
      </c>
      <c r="N9" s="3">
        <v>12</v>
      </c>
      <c r="O9" s="4">
        <v>45943</v>
      </c>
      <c r="P9" s="4">
        <v>45996</v>
      </c>
      <c r="Q9" s="3" t="s">
        <v>148</v>
      </c>
    </row>
    <row r="10" spans="1:17" x14ac:dyDescent="0.25">
      <c r="A10" s="4">
        <v>45935</v>
      </c>
      <c r="B10" s="6">
        <v>726.07</v>
      </c>
      <c r="C10" s="6">
        <f t="shared" si="0"/>
        <v>72.607000000000014</v>
      </c>
      <c r="D10" s="3">
        <v>60</v>
      </c>
      <c r="E10" s="4">
        <v>45936</v>
      </c>
      <c r="F10" s="6">
        <v>0</v>
      </c>
      <c r="G10" s="3" t="s">
        <v>153</v>
      </c>
      <c r="H10" s="3" t="s">
        <v>154</v>
      </c>
      <c r="I10" s="3" t="s">
        <v>147</v>
      </c>
      <c r="J10" s="3" t="s">
        <v>96</v>
      </c>
      <c r="K10" s="4">
        <v>46301</v>
      </c>
      <c r="L10" s="3">
        <v>41328</v>
      </c>
      <c r="M10" s="3" t="s">
        <v>134</v>
      </c>
      <c r="N10" s="3">
        <v>17</v>
      </c>
      <c r="O10" s="4">
        <v>45947</v>
      </c>
      <c r="P10" s="4">
        <v>45996</v>
      </c>
      <c r="Q10" s="3" t="s">
        <v>148</v>
      </c>
    </row>
    <row r="11" spans="1:17" x14ac:dyDescent="0.25">
      <c r="A11" s="4">
        <v>45935</v>
      </c>
      <c r="B11" s="6">
        <v>2171.8000000000002</v>
      </c>
      <c r="C11" s="6">
        <v>134.83000000000001</v>
      </c>
      <c r="D11" s="3">
        <v>17</v>
      </c>
      <c r="E11" s="4">
        <v>45936</v>
      </c>
      <c r="F11" s="6">
        <v>0</v>
      </c>
      <c r="G11" s="3" t="s">
        <v>155</v>
      </c>
      <c r="H11" s="3" t="s">
        <v>156</v>
      </c>
      <c r="I11" s="3" t="s">
        <v>109</v>
      </c>
      <c r="J11" s="3" t="s">
        <v>140</v>
      </c>
      <c r="K11" s="4">
        <v>45786</v>
      </c>
      <c r="L11" s="3">
        <v>50431</v>
      </c>
      <c r="M11" s="3" t="s">
        <v>157</v>
      </c>
      <c r="N11" s="3">
        <v>27</v>
      </c>
      <c r="O11" s="4">
        <v>45957</v>
      </c>
      <c r="P11" s="4">
        <v>45935</v>
      </c>
      <c r="Q11" s="3" t="s">
        <v>148</v>
      </c>
    </row>
    <row r="12" spans="1:17" x14ac:dyDescent="0.25">
      <c r="A12" s="4">
        <v>45935</v>
      </c>
      <c r="B12" s="5">
        <v>1400</v>
      </c>
      <c r="C12" s="5">
        <f>SUM(B12*7%)</f>
        <v>98.000000000000014</v>
      </c>
      <c r="D12" s="3">
        <v>4</v>
      </c>
      <c r="E12" s="4">
        <v>45936</v>
      </c>
      <c r="F12" s="6">
        <v>0</v>
      </c>
      <c r="G12" s="3" t="s">
        <v>158</v>
      </c>
      <c r="H12" s="3" t="s">
        <v>159</v>
      </c>
      <c r="I12" s="3" t="s">
        <v>109</v>
      </c>
      <c r="J12" s="3" t="s">
        <v>105</v>
      </c>
      <c r="K12" s="4">
        <v>46208</v>
      </c>
      <c r="L12" s="3">
        <v>170044</v>
      </c>
      <c r="M12" s="3" t="s">
        <v>160</v>
      </c>
      <c r="N12" s="3">
        <v>12</v>
      </c>
      <c r="O12" s="4">
        <v>45943</v>
      </c>
      <c r="P12" s="4">
        <v>45996</v>
      </c>
      <c r="Q12" s="3" t="s">
        <v>106</v>
      </c>
    </row>
    <row r="13" spans="1:17" x14ac:dyDescent="0.25">
      <c r="A13" s="4">
        <v>45935</v>
      </c>
      <c r="B13" s="6">
        <v>1800</v>
      </c>
      <c r="C13" s="6">
        <f>SUM(B13*10%)</f>
        <v>180</v>
      </c>
      <c r="D13" s="3">
        <v>12</v>
      </c>
      <c r="E13" s="4">
        <v>45935</v>
      </c>
      <c r="F13" s="6">
        <v>0</v>
      </c>
      <c r="G13" s="3" t="s">
        <v>161</v>
      </c>
      <c r="H13" s="3" t="s">
        <v>162</v>
      </c>
      <c r="I13" s="3" t="s">
        <v>109</v>
      </c>
      <c r="J13" s="3" t="s">
        <v>163</v>
      </c>
      <c r="K13" s="4">
        <v>45963</v>
      </c>
      <c r="L13" s="3">
        <v>54919</v>
      </c>
      <c r="M13" s="3" t="s">
        <v>164</v>
      </c>
      <c r="N13" s="3">
        <v>12</v>
      </c>
      <c r="O13" s="4">
        <v>45943</v>
      </c>
      <c r="P13" s="4">
        <v>45966</v>
      </c>
      <c r="Q13" s="3" t="s">
        <v>106</v>
      </c>
    </row>
    <row r="14" spans="1:17" x14ac:dyDescent="0.25">
      <c r="A14" s="4">
        <v>45935</v>
      </c>
      <c r="B14" s="6">
        <v>1730.73</v>
      </c>
      <c r="C14" s="6">
        <f>SUM(B14*10%)</f>
        <v>173.07300000000001</v>
      </c>
      <c r="D14" s="3">
        <v>77</v>
      </c>
      <c r="E14" s="4">
        <v>45936</v>
      </c>
      <c r="F14" s="6">
        <v>0</v>
      </c>
      <c r="G14" s="3" t="s">
        <v>165</v>
      </c>
      <c r="H14" s="3" t="s">
        <v>166</v>
      </c>
      <c r="I14" s="3" t="s">
        <v>109</v>
      </c>
      <c r="J14" s="3" t="s">
        <v>163</v>
      </c>
      <c r="K14" s="4">
        <v>46028</v>
      </c>
      <c r="L14" s="3">
        <v>100080</v>
      </c>
      <c r="M14" s="3" t="s">
        <v>167</v>
      </c>
      <c r="N14" s="3">
        <v>12</v>
      </c>
      <c r="O14" s="4">
        <v>45943</v>
      </c>
      <c r="P14" s="4">
        <v>45996</v>
      </c>
      <c r="Q14" s="3" t="s">
        <v>106</v>
      </c>
    </row>
    <row r="15" spans="1:17" x14ac:dyDescent="0.25">
      <c r="A15" s="10" t="s">
        <v>483</v>
      </c>
      <c r="B15" s="13">
        <v>1300</v>
      </c>
      <c r="C15" s="13">
        <v>1300</v>
      </c>
      <c r="D15" s="11">
        <v>1</v>
      </c>
      <c r="E15" s="10"/>
      <c r="F15" s="13"/>
      <c r="G15" s="11" t="s">
        <v>480</v>
      </c>
      <c r="H15" s="11" t="s">
        <v>481</v>
      </c>
      <c r="I15" s="11" t="s">
        <v>474</v>
      </c>
      <c r="J15" s="11" t="s">
        <v>105</v>
      </c>
      <c r="K15" s="10">
        <v>45959</v>
      </c>
      <c r="L15" s="11">
        <v>198515</v>
      </c>
      <c r="M15" s="11" t="s">
        <v>482</v>
      </c>
      <c r="N15" s="11">
        <v>12</v>
      </c>
      <c r="O15" s="10"/>
      <c r="P15" s="10"/>
      <c r="Q15" s="11" t="s">
        <v>106</v>
      </c>
    </row>
    <row r="16" spans="1:17" x14ac:dyDescent="0.25">
      <c r="A16" s="4">
        <v>45935</v>
      </c>
      <c r="B16" s="6">
        <v>1400</v>
      </c>
      <c r="C16" s="6">
        <f>SUM(B16*10%)</f>
        <v>140</v>
      </c>
      <c r="D16" s="3">
        <v>12</v>
      </c>
      <c r="E16" s="4">
        <v>45922</v>
      </c>
      <c r="F16" s="6">
        <v>0</v>
      </c>
      <c r="G16" s="3" t="s">
        <v>168</v>
      </c>
      <c r="H16" s="3" t="s">
        <v>169</v>
      </c>
      <c r="I16" s="3" t="s">
        <v>109</v>
      </c>
      <c r="J16" s="3" t="s">
        <v>163</v>
      </c>
      <c r="K16" s="3"/>
      <c r="L16" s="3">
        <v>154890</v>
      </c>
      <c r="M16" s="3" t="s">
        <v>170</v>
      </c>
      <c r="N16" s="3">
        <v>12</v>
      </c>
      <c r="O16" s="4">
        <v>45943</v>
      </c>
      <c r="P16" s="4">
        <v>45966</v>
      </c>
      <c r="Q16" s="3" t="s">
        <v>106</v>
      </c>
    </row>
    <row r="17" spans="1:17" x14ac:dyDescent="0.25">
      <c r="A17" s="19"/>
      <c r="B17" s="18"/>
      <c r="C17" s="18"/>
      <c r="D17" s="20"/>
      <c r="E17" s="19"/>
      <c r="F17" s="18"/>
      <c r="G17" s="20"/>
      <c r="H17" s="20"/>
      <c r="I17" s="20"/>
      <c r="J17" s="20"/>
      <c r="K17" s="20"/>
      <c r="L17" s="20"/>
      <c r="M17" s="20"/>
      <c r="N17" s="20"/>
      <c r="O17" s="19"/>
      <c r="P17" s="19"/>
      <c r="Q17" s="20"/>
    </row>
    <row r="18" spans="1:17" x14ac:dyDescent="0.25">
      <c r="A18" s="4">
        <v>45940</v>
      </c>
      <c r="B18" s="6">
        <v>1797.71</v>
      </c>
      <c r="C18" s="6">
        <f>SUM(B18*10%)</f>
        <v>179.77100000000002</v>
      </c>
      <c r="D18" s="3">
        <v>45</v>
      </c>
      <c r="E18" s="4">
        <v>45940</v>
      </c>
      <c r="F18" s="6">
        <v>0</v>
      </c>
      <c r="G18" s="3" t="s">
        <v>171</v>
      </c>
      <c r="H18" s="3" t="s">
        <v>172</v>
      </c>
      <c r="I18" s="3" t="s">
        <v>109</v>
      </c>
      <c r="J18" s="3"/>
      <c r="K18" s="4"/>
      <c r="L18" s="3"/>
      <c r="M18" s="3" t="s">
        <v>173</v>
      </c>
      <c r="N18" s="3">
        <v>17</v>
      </c>
      <c r="O18" s="4">
        <v>45947</v>
      </c>
      <c r="P18" s="4">
        <v>46001</v>
      </c>
      <c r="Q18" s="3" t="s">
        <v>106</v>
      </c>
    </row>
    <row r="19" spans="1:17" x14ac:dyDescent="0.25">
      <c r="A19" s="4">
        <v>45940</v>
      </c>
      <c r="B19" s="6">
        <v>1400</v>
      </c>
      <c r="C19" s="6">
        <f>SUM(B19*10%)</f>
        <v>140</v>
      </c>
      <c r="D19" s="3">
        <v>7</v>
      </c>
      <c r="E19" s="4">
        <v>45936</v>
      </c>
      <c r="F19" s="6">
        <v>0</v>
      </c>
      <c r="G19" s="3" t="s">
        <v>174</v>
      </c>
      <c r="H19" s="3" t="s">
        <v>175</v>
      </c>
      <c r="I19" s="3" t="s">
        <v>147</v>
      </c>
      <c r="J19" s="3"/>
      <c r="K19" s="4"/>
      <c r="L19" s="3"/>
      <c r="M19" s="3" t="s">
        <v>176</v>
      </c>
      <c r="N19" s="3">
        <v>17</v>
      </c>
      <c r="O19" s="4">
        <v>45947</v>
      </c>
      <c r="P19" s="4">
        <v>46001</v>
      </c>
      <c r="Q19" s="3" t="s">
        <v>106</v>
      </c>
    </row>
    <row r="20" spans="1:17" x14ac:dyDescent="0.25">
      <c r="A20" s="4">
        <v>45940</v>
      </c>
      <c r="B20" s="6">
        <v>1100</v>
      </c>
      <c r="C20" s="6">
        <f>SUM(B20*10%)</f>
        <v>110</v>
      </c>
      <c r="D20" s="3">
        <v>7</v>
      </c>
      <c r="E20" s="4">
        <v>45931</v>
      </c>
      <c r="F20" s="6">
        <v>0</v>
      </c>
      <c r="G20" s="3" t="s">
        <v>177</v>
      </c>
      <c r="H20" s="3" t="s">
        <v>178</v>
      </c>
      <c r="I20" s="3" t="s">
        <v>133</v>
      </c>
      <c r="J20" s="3"/>
      <c r="K20" s="4"/>
      <c r="L20" s="3"/>
      <c r="M20" s="3" t="s">
        <v>179</v>
      </c>
      <c r="N20" s="3">
        <v>17</v>
      </c>
      <c r="O20" s="4">
        <v>45947</v>
      </c>
      <c r="P20" s="4">
        <v>46001</v>
      </c>
      <c r="Q20" s="3" t="s">
        <v>106</v>
      </c>
    </row>
    <row r="21" spans="1:17" x14ac:dyDescent="0.25">
      <c r="A21" s="4">
        <v>45940</v>
      </c>
      <c r="B21" s="6">
        <v>2000</v>
      </c>
      <c r="C21" s="6">
        <v>0</v>
      </c>
      <c r="D21" s="3">
        <v>5</v>
      </c>
      <c r="E21" s="6" t="s">
        <v>180</v>
      </c>
      <c r="F21" s="6">
        <v>0</v>
      </c>
      <c r="G21" s="3" t="s">
        <v>181</v>
      </c>
      <c r="H21" s="3" t="s">
        <v>182</v>
      </c>
      <c r="I21" s="3" t="s">
        <v>109</v>
      </c>
      <c r="J21" s="3"/>
      <c r="K21" s="4"/>
      <c r="L21" s="3"/>
      <c r="M21" s="3" t="s">
        <v>183</v>
      </c>
      <c r="N21" s="3">
        <v>17</v>
      </c>
      <c r="O21" s="3" t="s">
        <v>130</v>
      </c>
      <c r="P21" s="4" t="s">
        <v>130</v>
      </c>
      <c r="Q21" s="3" t="s">
        <v>130</v>
      </c>
    </row>
    <row r="22" spans="1:17" x14ac:dyDescent="0.25">
      <c r="A22" s="4">
        <v>45940</v>
      </c>
      <c r="B22" s="6">
        <v>3500</v>
      </c>
      <c r="C22" s="6">
        <f>SUM(B22*8.58%)</f>
        <v>300.3</v>
      </c>
      <c r="D22" s="3">
        <v>3</v>
      </c>
      <c r="E22" s="4">
        <v>45936</v>
      </c>
      <c r="F22" s="6">
        <v>0</v>
      </c>
      <c r="G22" s="3" t="s">
        <v>184</v>
      </c>
      <c r="H22" s="3" t="s">
        <v>185</v>
      </c>
      <c r="I22" s="3" t="s">
        <v>109</v>
      </c>
      <c r="J22" s="3" t="s">
        <v>163</v>
      </c>
      <c r="K22" s="4">
        <v>46244</v>
      </c>
      <c r="L22" s="3"/>
      <c r="M22" s="3" t="s">
        <v>186</v>
      </c>
      <c r="N22" s="3">
        <v>17</v>
      </c>
      <c r="O22" s="4">
        <v>45947</v>
      </c>
      <c r="P22" s="4">
        <v>46001</v>
      </c>
      <c r="Q22" s="3" t="s">
        <v>187</v>
      </c>
    </row>
    <row r="23" spans="1:17" x14ac:dyDescent="0.25">
      <c r="A23" s="4">
        <v>45940</v>
      </c>
      <c r="B23" s="6">
        <v>3089.1</v>
      </c>
      <c r="C23" s="6">
        <f t="shared" ref="C23:C34" si="1">SUM(B23*10%)</f>
        <v>308.91000000000003</v>
      </c>
      <c r="D23" s="3">
        <v>13</v>
      </c>
      <c r="E23" s="4">
        <v>45940</v>
      </c>
      <c r="F23" s="6">
        <v>0</v>
      </c>
      <c r="G23" s="3" t="s">
        <v>188</v>
      </c>
      <c r="H23" s="3" t="s">
        <v>189</v>
      </c>
      <c r="I23" s="3" t="s">
        <v>109</v>
      </c>
      <c r="J23" s="3"/>
      <c r="K23" s="4"/>
      <c r="L23" s="3">
        <v>79566</v>
      </c>
      <c r="M23" s="3" t="s">
        <v>190</v>
      </c>
      <c r="N23" s="3">
        <v>17</v>
      </c>
      <c r="O23" s="4">
        <v>45947</v>
      </c>
      <c r="P23" s="4">
        <v>46001</v>
      </c>
      <c r="Q23" s="3" t="s">
        <v>106</v>
      </c>
    </row>
    <row r="24" spans="1:17" x14ac:dyDescent="0.25">
      <c r="A24" s="4">
        <v>45940</v>
      </c>
      <c r="B24" s="5">
        <v>974.43</v>
      </c>
      <c r="C24" s="5">
        <f t="shared" si="1"/>
        <v>97.442999999999998</v>
      </c>
      <c r="D24" s="3">
        <v>64</v>
      </c>
      <c r="E24" s="19"/>
      <c r="F24" s="6">
        <v>0</v>
      </c>
      <c r="G24" s="3" t="s">
        <v>107</v>
      </c>
      <c r="H24" s="3" t="s">
        <v>108</v>
      </c>
      <c r="I24" s="3" t="s">
        <v>109</v>
      </c>
      <c r="J24" s="3"/>
      <c r="K24" s="4"/>
      <c r="L24" s="3">
        <v>105475</v>
      </c>
      <c r="M24" s="3" t="s">
        <v>110</v>
      </c>
      <c r="N24" s="3">
        <v>27</v>
      </c>
      <c r="O24" s="4"/>
      <c r="P24" s="4">
        <v>46001</v>
      </c>
      <c r="Q24" s="3" t="s">
        <v>106</v>
      </c>
    </row>
    <row r="25" spans="1:17" x14ac:dyDescent="0.25">
      <c r="A25" s="4">
        <v>45940</v>
      </c>
      <c r="B25" s="6">
        <v>1012.95</v>
      </c>
      <c r="C25" s="6">
        <f t="shared" si="1"/>
        <v>101.29500000000002</v>
      </c>
      <c r="D25" s="3">
        <v>43</v>
      </c>
      <c r="E25" s="4">
        <v>45940</v>
      </c>
      <c r="F25" s="6">
        <v>0</v>
      </c>
      <c r="G25" s="3" t="s">
        <v>191</v>
      </c>
      <c r="H25" s="3" t="s">
        <v>192</v>
      </c>
      <c r="I25" s="3" t="s">
        <v>109</v>
      </c>
      <c r="J25" s="3"/>
      <c r="K25" s="4"/>
      <c r="L25" s="3">
        <v>92001</v>
      </c>
      <c r="M25" s="3" t="s">
        <v>193</v>
      </c>
      <c r="N25" s="3">
        <v>17</v>
      </c>
      <c r="O25" s="4">
        <v>45947</v>
      </c>
      <c r="P25" s="4">
        <v>46001</v>
      </c>
      <c r="Q25" s="3" t="s">
        <v>106</v>
      </c>
    </row>
    <row r="26" spans="1:17" x14ac:dyDescent="0.25">
      <c r="A26" s="4">
        <v>45940</v>
      </c>
      <c r="B26" s="6">
        <v>1100</v>
      </c>
      <c r="C26" s="6">
        <f t="shared" si="1"/>
        <v>110</v>
      </c>
      <c r="D26" s="3">
        <v>11</v>
      </c>
      <c r="E26" s="4">
        <v>45940</v>
      </c>
      <c r="F26" s="6">
        <v>0</v>
      </c>
      <c r="G26" s="3" t="s">
        <v>194</v>
      </c>
      <c r="H26" s="3" t="s">
        <v>195</v>
      </c>
      <c r="I26" s="3" t="s">
        <v>109</v>
      </c>
      <c r="J26" s="3" t="s">
        <v>151</v>
      </c>
      <c r="K26" s="4">
        <v>46070</v>
      </c>
      <c r="L26" s="3">
        <v>164063</v>
      </c>
      <c r="M26" s="3" t="s">
        <v>196</v>
      </c>
      <c r="N26" s="3">
        <v>17</v>
      </c>
      <c r="O26" s="4">
        <v>45947</v>
      </c>
      <c r="P26" s="4">
        <v>46001</v>
      </c>
      <c r="Q26" s="3" t="s">
        <v>106</v>
      </c>
    </row>
    <row r="27" spans="1:17" x14ac:dyDescent="0.25">
      <c r="A27" s="4">
        <v>45940</v>
      </c>
      <c r="B27" s="6">
        <v>950</v>
      </c>
      <c r="C27" s="6">
        <f t="shared" si="1"/>
        <v>95</v>
      </c>
      <c r="D27" s="3">
        <v>12</v>
      </c>
      <c r="E27" s="4">
        <v>45940</v>
      </c>
      <c r="F27" s="6">
        <v>0</v>
      </c>
      <c r="G27" s="3" t="s">
        <v>197</v>
      </c>
      <c r="H27" s="3" t="s">
        <v>198</v>
      </c>
      <c r="I27" s="3" t="s">
        <v>109</v>
      </c>
      <c r="J27" s="3" t="s">
        <v>105</v>
      </c>
      <c r="K27" s="4">
        <v>46049</v>
      </c>
      <c r="L27" s="3">
        <v>62627</v>
      </c>
      <c r="M27" s="3" t="s">
        <v>20</v>
      </c>
      <c r="N27" s="3">
        <v>27</v>
      </c>
      <c r="O27" s="4">
        <v>45957</v>
      </c>
      <c r="P27" s="4">
        <v>45971</v>
      </c>
      <c r="Q27" s="3" t="s">
        <v>106</v>
      </c>
    </row>
    <row r="28" spans="1:17" x14ac:dyDescent="0.25">
      <c r="A28" s="4">
        <v>45940</v>
      </c>
      <c r="B28" s="6">
        <v>2085.1999999999998</v>
      </c>
      <c r="C28" s="6">
        <f t="shared" si="1"/>
        <v>208.51999999999998</v>
      </c>
      <c r="D28" s="3">
        <v>36</v>
      </c>
      <c r="E28" s="4">
        <v>45940</v>
      </c>
      <c r="F28" s="6">
        <v>0</v>
      </c>
      <c r="G28" s="3" t="s">
        <v>199</v>
      </c>
      <c r="H28" s="3" t="s">
        <v>200</v>
      </c>
      <c r="I28" s="3"/>
      <c r="J28" s="3"/>
      <c r="K28" s="4"/>
      <c r="L28" s="3"/>
      <c r="M28" s="3" t="s">
        <v>201</v>
      </c>
      <c r="N28" s="3">
        <v>17</v>
      </c>
      <c r="O28" s="4">
        <v>45947</v>
      </c>
      <c r="P28" s="4">
        <v>46001</v>
      </c>
      <c r="Q28" s="3"/>
    </row>
    <row r="29" spans="1:17" x14ac:dyDescent="0.25">
      <c r="A29" s="4">
        <v>45940</v>
      </c>
      <c r="B29" s="6">
        <v>1500</v>
      </c>
      <c r="C29" s="6">
        <f t="shared" si="1"/>
        <v>150</v>
      </c>
      <c r="D29" s="3">
        <v>7</v>
      </c>
      <c r="E29" s="4">
        <v>45940</v>
      </c>
      <c r="F29" s="6">
        <v>0</v>
      </c>
      <c r="G29" s="3" t="s">
        <v>202</v>
      </c>
      <c r="H29" s="3" t="s">
        <v>203</v>
      </c>
      <c r="I29" s="3" t="s">
        <v>133</v>
      </c>
      <c r="J29" s="3"/>
      <c r="K29" s="4"/>
      <c r="L29" s="3"/>
      <c r="M29" s="3" t="s">
        <v>204</v>
      </c>
      <c r="N29" s="3">
        <v>17</v>
      </c>
      <c r="O29" s="4">
        <v>45947</v>
      </c>
      <c r="P29" s="4">
        <v>46001</v>
      </c>
      <c r="Q29" s="3"/>
    </row>
    <row r="30" spans="1:17" x14ac:dyDescent="0.25">
      <c r="A30" s="4">
        <v>45940</v>
      </c>
      <c r="B30" s="6">
        <v>1084.4000000000001</v>
      </c>
      <c r="C30" s="6">
        <f t="shared" si="1"/>
        <v>108.44000000000001</v>
      </c>
      <c r="D30" s="3">
        <v>19</v>
      </c>
      <c r="E30" s="4">
        <v>45943</v>
      </c>
      <c r="F30" s="6">
        <v>0</v>
      </c>
      <c r="G30" s="3" t="s">
        <v>205</v>
      </c>
      <c r="H30" s="3" t="s">
        <v>206</v>
      </c>
      <c r="I30" s="3" t="s">
        <v>133</v>
      </c>
      <c r="J30" s="3" t="s">
        <v>105</v>
      </c>
      <c r="K30" s="4"/>
      <c r="L30" s="3">
        <v>162036</v>
      </c>
      <c r="M30" s="3" t="s">
        <v>207</v>
      </c>
      <c r="N30" s="3">
        <v>17</v>
      </c>
      <c r="O30" s="4">
        <v>45947</v>
      </c>
      <c r="P30" s="4">
        <v>46001</v>
      </c>
      <c r="Q30" s="3" t="s">
        <v>106</v>
      </c>
    </row>
    <row r="31" spans="1:17" x14ac:dyDescent="0.25">
      <c r="A31" s="4">
        <v>45940</v>
      </c>
      <c r="B31" s="6">
        <v>10884</v>
      </c>
      <c r="C31" s="6">
        <f t="shared" si="1"/>
        <v>1088.4000000000001</v>
      </c>
      <c r="D31" s="3">
        <v>55</v>
      </c>
      <c r="E31" s="4">
        <v>45940</v>
      </c>
      <c r="F31" s="6">
        <v>0</v>
      </c>
      <c r="G31" s="3" t="s">
        <v>208</v>
      </c>
      <c r="H31" s="3" t="s">
        <v>209</v>
      </c>
      <c r="I31" s="3" t="s">
        <v>109</v>
      </c>
      <c r="J31" s="3"/>
      <c r="K31" s="4"/>
      <c r="L31" s="3"/>
      <c r="M31" s="3" t="s">
        <v>173</v>
      </c>
      <c r="N31" s="3">
        <v>17</v>
      </c>
      <c r="O31" s="4">
        <v>45947</v>
      </c>
      <c r="P31" s="4">
        <v>46001</v>
      </c>
      <c r="Q31" s="3" t="s">
        <v>106</v>
      </c>
    </row>
    <row r="32" spans="1:17" x14ac:dyDescent="0.25">
      <c r="A32" s="4">
        <v>45940</v>
      </c>
      <c r="B32" s="6">
        <v>1056.98</v>
      </c>
      <c r="C32" s="5">
        <f t="shared" si="1"/>
        <v>105.69800000000001</v>
      </c>
      <c r="D32" s="3">
        <v>59</v>
      </c>
      <c r="E32" s="4">
        <v>45938</v>
      </c>
      <c r="F32" s="6">
        <v>0</v>
      </c>
      <c r="G32" s="3" t="s">
        <v>210</v>
      </c>
      <c r="H32" s="3" t="s">
        <v>211</v>
      </c>
      <c r="I32" s="3" t="s">
        <v>147</v>
      </c>
      <c r="J32" s="3"/>
      <c r="K32" s="4"/>
      <c r="L32" s="3"/>
      <c r="M32" s="3" t="s">
        <v>144</v>
      </c>
      <c r="N32" s="3">
        <v>27</v>
      </c>
      <c r="O32" s="4">
        <v>45957</v>
      </c>
      <c r="P32" s="4">
        <v>45940</v>
      </c>
      <c r="Q32" s="3" t="s">
        <v>106</v>
      </c>
    </row>
    <row r="33" spans="1:17" x14ac:dyDescent="0.25">
      <c r="A33" s="4">
        <v>45940</v>
      </c>
      <c r="B33" s="5">
        <v>623.54999999999995</v>
      </c>
      <c r="C33" s="5">
        <f t="shared" si="1"/>
        <v>62.354999999999997</v>
      </c>
      <c r="D33" s="3">
        <v>53</v>
      </c>
      <c r="E33" s="4">
        <v>45940</v>
      </c>
      <c r="F33" s="6">
        <v>0</v>
      </c>
      <c r="G33" s="3" t="s">
        <v>212</v>
      </c>
      <c r="H33" s="3" t="s">
        <v>213</v>
      </c>
      <c r="I33" s="3" t="s">
        <v>147</v>
      </c>
      <c r="J33" s="3"/>
      <c r="K33" s="4"/>
      <c r="L33" s="3"/>
      <c r="M33" s="3" t="s">
        <v>134</v>
      </c>
      <c r="N33" s="3">
        <v>17</v>
      </c>
      <c r="O33" s="4">
        <v>45947</v>
      </c>
      <c r="P33" s="4">
        <v>46001</v>
      </c>
      <c r="Q33" s="3" t="s">
        <v>106</v>
      </c>
    </row>
    <row r="34" spans="1:17" x14ac:dyDescent="0.25">
      <c r="A34" s="4">
        <v>45940</v>
      </c>
      <c r="B34" s="6">
        <v>750</v>
      </c>
      <c r="C34" s="6">
        <f t="shared" si="1"/>
        <v>75</v>
      </c>
      <c r="D34" s="3">
        <v>13</v>
      </c>
      <c r="E34" s="4">
        <v>45937</v>
      </c>
      <c r="F34" s="6">
        <v>0</v>
      </c>
      <c r="G34" s="3" t="s">
        <v>214</v>
      </c>
      <c r="H34" s="3" t="s">
        <v>215</v>
      </c>
      <c r="I34" s="3" t="s">
        <v>133</v>
      </c>
      <c r="J34" s="3" t="s">
        <v>216</v>
      </c>
      <c r="K34" s="4">
        <v>46206</v>
      </c>
      <c r="L34" s="3">
        <v>5543</v>
      </c>
      <c r="M34" s="3" t="s">
        <v>23</v>
      </c>
      <c r="N34" s="3">
        <v>27</v>
      </c>
      <c r="O34" s="4">
        <v>45957</v>
      </c>
      <c r="P34" s="4">
        <v>46001</v>
      </c>
      <c r="Q34" s="3" t="s">
        <v>106</v>
      </c>
    </row>
    <row r="35" spans="1:17" x14ac:dyDescent="0.25">
      <c r="A35" s="4">
        <v>45940</v>
      </c>
      <c r="B35" s="5">
        <v>1500</v>
      </c>
      <c r="C35" s="5">
        <v>150</v>
      </c>
      <c r="D35" s="3">
        <v>4</v>
      </c>
      <c r="E35" s="4">
        <v>45939</v>
      </c>
      <c r="F35" s="6">
        <v>0</v>
      </c>
      <c r="G35" s="3" t="s">
        <v>217</v>
      </c>
      <c r="H35" s="3" t="s">
        <v>218</v>
      </c>
      <c r="I35" s="3" t="s">
        <v>133</v>
      </c>
      <c r="J35" s="3" t="s">
        <v>105</v>
      </c>
      <c r="K35" s="4">
        <v>46189</v>
      </c>
      <c r="L35" s="3">
        <v>91785</v>
      </c>
      <c r="M35" s="3" t="s">
        <v>144</v>
      </c>
      <c r="N35" s="3">
        <v>27</v>
      </c>
      <c r="O35" s="4">
        <v>45957</v>
      </c>
      <c r="P35" s="4">
        <v>46001</v>
      </c>
      <c r="Q35" s="3" t="s">
        <v>106</v>
      </c>
    </row>
    <row r="36" spans="1:17" x14ac:dyDescent="0.25">
      <c r="A36" s="4">
        <v>45940</v>
      </c>
      <c r="B36" s="6">
        <v>1085.2</v>
      </c>
      <c r="C36" s="6">
        <f>SUM(B36*10%)</f>
        <v>108.52000000000001</v>
      </c>
      <c r="D36" s="3">
        <v>16</v>
      </c>
      <c r="E36" s="4">
        <v>45937</v>
      </c>
      <c r="F36" s="6">
        <v>0</v>
      </c>
      <c r="G36" s="3" t="s">
        <v>219</v>
      </c>
      <c r="H36" s="3" t="s">
        <v>220</v>
      </c>
      <c r="I36" s="3" t="s">
        <v>133</v>
      </c>
      <c r="J36" s="3" t="s">
        <v>221</v>
      </c>
      <c r="K36" s="4">
        <v>45832</v>
      </c>
      <c r="L36" s="3">
        <v>72591</v>
      </c>
      <c r="M36" s="3" t="s">
        <v>144</v>
      </c>
      <c r="N36" s="3">
        <v>27</v>
      </c>
      <c r="O36" s="4">
        <v>45957</v>
      </c>
      <c r="P36" s="4">
        <v>46001</v>
      </c>
      <c r="Q36" s="3" t="s">
        <v>148</v>
      </c>
    </row>
    <row r="37" spans="1:17" x14ac:dyDescent="0.25">
      <c r="A37" s="4">
        <v>45940</v>
      </c>
      <c r="B37" s="6">
        <v>800</v>
      </c>
      <c r="C37" s="6">
        <f>SUM(B37*10%)</f>
        <v>80</v>
      </c>
      <c r="D37" s="3">
        <v>8</v>
      </c>
      <c r="E37" s="4">
        <v>45939</v>
      </c>
      <c r="F37" s="6">
        <v>0</v>
      </c>
      <c r="G37" s="3" t="s">
        <v>222</v>
      </c>
      <c r="H37" s="3" t="s">
        <v>223</v>
      </c>
      <c r="I37" s="3" t="s">
        <v>109</v>
      </c>
      <c r="J37" s="3" t="s">
        <v>151</v>
      </c>
      <c r="K37" s="4">
        <v>46046</v>
      </c>
      <c r="L37" s="3">
        <v>197145</v>
      </c>
      <c r="M37" s="3" t="s">
        <v>193</v>
      </c>
      <c r="N37" s="3">
        <v>17</v>
      </c>
      <c r="O37" s="4">
        <v>45947</v>
      </c>
      <c r="P37" s="4">
        <v>46063</v>
      </c>
      <c r="Q37" s="3" t="s">
        <v>106</v>
      </c>
    </row>
    <row r="38" spans="1:17" x14ac:dyDescent="0.25">
      <c r="A38" s="4">
        <v>45940</v>
      </c>
      <c r="B38" s="6">
        <v>9502.2000000000007</v>
      </c>
      <c r="C38" s="6">
        <f>SUM(B38*5%)</f>
        <v>475.11000000000007</v>
      </c>
      <c r="D38" s="3">
        <v>23</v>
      </c>
      <c r="E38" s="4">
        <v>45940</v>
      </c>
      <c r="F38" s="6">
        <v>0</v>
      </c>
      <c r="G38" s="3" t="s">
        <v>224</v>
      </c>
      <c r="H38" s="3" t="s">
        <v>225</v>
      </c>
      <c r="I38" s="3" t="s">
        <v>109</v>
      </c>
      <c r="J38" s="3" t="s">
        <v>96</v>
      </c>
      <c r="K38" s="4">
        <v>46042</v>
      </c>
      <c r="L38" s="3">
        <v>172293</v>
      </c>
      <c r="M38" s="3" t="s">
        <v>226</v>
      </c>
      <c r="N38" s="3">
        <v>12</v>
      </c>
      <c r="O38" s="4">
        <v>45943</v>
      </c>
      <c r="P38" s="4">
        <v>45971</v>
      </c>
      <c r="Q38" s="3" t="s">
        <v>106</v>
      </c>
    </row>
    <row r="39" spans="1:17" x14ac:dyDescent="0.25">
      <c r="A39" s="4">
        <v>45940</v>
      </c>
      <c r="B39" s="6">
        <v>4700</v>
      </c>
      <c r="C39" s="6">
        <v>399.97</v>
      </c>
      <c r="D39" s="3">
        <v>1</v>
      </c>
      <c r="E39" s="4">
        <v>45946</v>
      </c>
      <c r="F39" s="6">
        <v>484.71</v>
      </c>
      <c r="G39" s="3" t="s">
        <v>231</v>
      </c>
      <c r="H39" s="3" t="s">
        <v>232</v>
      </c>
      <c r="I39" s="3" t="s">
        <v>133</v>
      </c>
      <c r="J39" s="3" t="s">
        <v>163</v>
      </c>
      <c r="K39" s="4"/>
      <c r="L39" s="3">
        <v>170314</v>
      </c>
      <c r="M39" s="3" t="s">
        <v>233</v>
      </c>
      <c r="N39" s="3">
        <v>17</v>
      </c>
      <c r="O39" s="4">
        <v>45947</v>
      </c>
      <c r="P39" s="4">
        <v>45940</v>
      </c>
      <c r="Q39" s="3" t="s">
        <v>106</v>
      </c>
    </row>
    <row r="40" spans="1:17" x14ac:dyDescent="0.25">
      <c r="A40" s="4">
        <v>45940</v>
      </c>
      <c r="B40" s="6">
        <v>1194.49</v>
      </c>
      <c r="C40" s="6">
        <f>SUM(B40*10%)</f>
        <v>119.44900000000001</v>
      </c>
      <c r="D40" s="3">
        <v>18</v>
      </c>
      <c r="E40" s="4">
        <v>45944</v>
      </c>
      <c r="F40" s="6">
        <v>121.39</v>
      </c>
      <c r="G40" s="3" t="s">
        <v>234</v>
      </c>
      <c r="H40" s="3" t="s">
        <v>235</v>
      </c>
      <c r="I40" s="3" t="s">
        <v>133</v>
      </c>
      <c r="J40" s="3" t="s">
        <v>96</v>
      </c>
      <c r="K40" s="4">
        <v>45792</v>
      </c>
      <c r="L40" s="3">
        <v>91426</v>
      </c>
      <c r="M40" s="3" t="s">
        <v>121</v>
      </c>
      <c r="N40" s="3">
        <v>17</v>
      </c>
      <c r="O40" s="4">
        <v>45947</v>
      </c>
      <c r="P40" s="4">
        <v>46001</v>
      </c>
      <c r="Q40" s="3" t="s">
        <v>106</v>
      </c>
    </row>
    <row r="41" spans="1:17" x14ac:dyDescent="0.25">
      <c r="A41" s="10">
        <v>45971</v>
      </c>
      <c r="B41" s="13">
        <v>1100</v>
      </c>
      <c r="C41" s="13">
        <v>1100</v>
      </c>
      <c r="D41" s="11">
        <v>1</v>
      </c>
      <c r="E41" s="10"/>
      <c r="F41" s="13">
        <v>0</v>
      </c>
      <c r="G41" s="11" t="s">
        <v>485</v>
      </c>
      <c r="H41" s="11" t="s">
        <v>486</v>
      </c>
      <c r="I41" s="11" t="s">
        <v>109</v>
      </c>
      <c r="J41" s="11" t="s">
        <v>295</v>
      </c>
      <c r="K41" s="10">
        <v>46324</v>
      </c>
      <c r="L41" s="11">
        <v>143329</v>
      </c>
      <c r="M41" s="11" t="s">
        <v>487</v>
      </c>
      <c r="N41" s="11">
        <v>12</v>
      </c>
      <c r="O41" s="10"/>
      <c r="P41" s="10"/>
      <c r="Q41" s="11" t="s">
        <v>488</v>
      </c>
    </row>
    <row r="42" spans="1:17" x14ac:dyDescent="0.25">
      <c r="A42" s="4">
        <v>45940</v>
      </c>
      <c r="B42" s="6">
        <v>500</v>
      </c>
      <c r="C42" s="6">
        <v>50</v>
      </c>
      <c r="D42" s="3">
        <v>56</v>
      </c>
      <c r="E42" s="4">
        <v>45939</v>
      </c>
      <c r="F42" s="6">
        <v>0</v>
      </c>
      <c r="G42" s="3" t="s">
        <v>238</v>
      </c>
      <c r="H42" s="3" t="s">
        <v>239</v>
      </c>
      <c r="I42" s="3" t="s">
        <v>147</v>
      </c>
      <c r="J42" s="3" t="s">
        <v>105</v>
      </c>
      <c r="K42" s="4">
        <v>46070</v>
      </c>
      <c r="L42" s="3"/>
      <c r="M42" s="3" t="s">
        <v>240</v>
      </c>
      <c r="N42" s="3">
        <v>17</v>
      </c>
      <c r="O42" s="4">
        <v>45947</v>
      </c>
      <c r="P42" s="4">
        <v>46001</v>
      </c>
      <c r="Q42" s="3"/>
    </row>
    <row r="43" spans="1:17" x14ac:dyDescent="0.25">
      <c r="A43" s="4">
        <v>45940</v>
      </c>
      <c r="B43" s="5">
        <v>844.53</v>
      </c>
      <c r="C43" s="5">
        <f>SUM(B43*10%)</f>
        <v>84.453000000000003</v>
      </c>
      <c r="D43" s="3">
        <v>45</v>
      </c>
      <c r="E43" s="4">
        <v>45939</v>
      </c>
      <c r="F43" s="6">
        <v>0</v>
      </c>
      <c r="G43" s="3" t="s">
        <v>244</v>
      </c>
      <c r="H43" s="3" t="s">
        <v>245</v>
      </c>
      <c r="I43" s="3" t="s">
        <v>109</v>
      </c>
      <c r="J43" s="3"/>
      <c r="K43" s="4"/>
      <c r="L43" s="3"/>
      <c r="M43" s="3" t="s">
        <v>246</v>
      </c>
      <c r="N43" s="3">
        <v>27</v>
      </c>
      <c r="O43" s="4">
        <v>45957</v>
      </c>
      <c r="P43" s="4">
        <v>46001</v>
      </c>
      <c r="Q43" s="3"/>
    </row>
    <row r="44" spans="1:17" x14ac:dyDescent="0.25">
      <c r="A44" s="4">
        <v>45940</v>
      </c>
      <c r="B44" s="5">
        <v>550</v>
      </c>
      <c r="C44" s="5">
        <v>40</v>
      </c>
      <c r="D44" s="3">
        <v>1</v>
      </c>
      <c r="E44" s="4">
        <v>45940</v>
      </c>
      <c r="F44" s="6">
        <v>0</v>
      </c>
      <c r="G44" s="3" t="s">
        <v>403</v>
      </c>
      <c r="H44" s="3" t="s">
        <v>404</v>
      </c>
      <c r="I44" s="3" t="s">
        <v>147</v>
      </c>
      <c r="J44" s="3"/>
      <c r="K44" s="4"/>
      <c r="L44" s="3"/>
      <c r="M44" s="3" t="s">
        <v>18</v>
      </c>
      <c r="N44" s="3">
        <v>17</v>
      </c>
      <c r="O44" s="4">
        <v>45947</v>
      </c>
      <c r="P44" s="4">
        <v>45940</v>
      </c>
      <c r="Q44" s="3" t="s">
        <v>264</v>
      </c>
    </row>
    <row r="45" spans="1:17" x14ac:dyDescent="0.25">
      <c r="A45" s="4">
        <v>45940</v>
      </c>
      <c r="B45" s="6">
        <v>1407.51</v>
      </c>
      <c r="C45" s="6">
        <f t="shared" ref="C45:C50" si="2">SUM(B45*10%)</f>
        <v>140.751</v>
      </c>
      <c r="D45" s="3">
        <v>37</v>
      </c>
      <c r="E45" s="4">
        <v>45933</v>
      </c>
      <c r="F45" s="6">
        <v>0</v>
      </c>
      <c r="G45" s="3" t="s">
        <v>247</v>
      </c>
      <c r="H45" s="3" t="s">
        <v>248</v>
      </c>
      <c r="I45" s="3" t="s">
        <v>109</v>
      </c>
      <c r="J45" s="3"/>
      <c r="K45" s="4"/>
      <c r="L45" s="3"/>
      <c r="M45" s="3" t="s">
        <v>249</v>
      </c>
      <c r="N45" s="3">
        <v>17</v>
      </c>
      <c r="O45" s="4">
        <v>45947</v>
      </c>
      <c r="P45" s="4">
        <v>46001</v>
      </c>
      <c r="Q45" s="3"/>
    </row>
    <row r="46" spans="1:17" x14ac:dyDescent="0.25">
      <c r="A46" s="4">
        <v>45940</v>
      </c>
      <c r="B46" s="5">
        <v>1062.17</v>
      </c>
      <c r="C46" s="5">
        <f t="shared" si="2"/>
        <v>106.21700000000001</v>
      </c>
      <c r="D46" s="3">
        <v>63</v>
      </c>
      <c r="E46" s="4">
        <v>45940</v>
      </c>
      <c r="F46" s="6">
        <v>0</v>
      </c>
      <c r="G46" s="3" t="s">
        <v>250</v>
      </c>
      <c r="H46" s="3" t="s">
        <v>251</v>
      </c>
      <c r="I46" s="3"/>
      <c r="J46" s="3" t="s">
        <v>96</v>
      </c>
      <c r="K46" s="4">
        <v>46218</v>
      </c>
      <c r="L46" s="3"/>
      <c r="M46" s="3" t="s">
        <v>252</v>
      </c>
      <c r="N46" s="3">
        <v>17</v>
      </c>
      <c r="O46" s="4">
        <v>45947</v>
      </c>
      <c r="P46" s="4">
        <v>46001</v>
      </c>
      <c r="Q46" s="3"/>
    </row>
    <row r="47" spans="1:17" x14ac:dyDescent="0.25">
      <c r="A47" s="4">
        <v>45940</v>
      </c>
      <c r="B47" s="5">
        <v>800</v>
      </c>
      <c r="C47" s="5">
        <f t="shared" si="2"/>
        <v>80</v>
      </c>
      <c r="D47" s="3">
        <v>3</v>
      </c>
      <c r="E47" s="4">
        <v>45939</v>
      </c>
      <c r="F47" s="6">
        <v>0</v>
      </c>
      <c r="G47" s="3" t="s">
        <v>253</v>
      </c>
      <c r="H47" s="3" t="s">
        <v>254</v>
      </c>
      <c r="I47" s="3" t="s">
        <v>147</v>
      </c>
      <c r="J47" s="3"/>
      <c r="K47" s="4"/>
      <c r="L47" s="3"/>
      <c r="M47" s="3" t="s">
        <v>18</v>
      </c>
      <c r="N47" s="3">
        <v>17</v>
      </c>
      <c r="O47" s="4">
        <v>45947</v>
      </c>
      <c r="P47" s="4">
        <v>46001</v>
      </c>
      <c r="Q47" s="3" t="s">
        <v>106</v>
      </c>
    </row>
    <row r="48" spans="1:17" x14ac:dyDescent="0.25">
      <c r="A48" s="4">
        <v>45940</v>
      </c>
      <c r="B48" s="6">
        <v>1400</v>
      </c>
      <c r="C48" s="6">
        <f t="shared" si="2"/>
        <v>140</v>
      </c>
      <c r="D48" s="3">
        <v>6</v>
      </c>
      <c r="E48" s="4">
        <v>45938</v>
      </c>
      <c r="F48" s="6">
        <v>0</v>
      </c>
      <c r="G48" s="3" t="s">
        <v>255</v>
      </c>
      <c r="H48" s="3" t="s">
        <v>256</v>
      </c>
      <c r="I48" s="3" t="s">
        <v>133</v>
      </c>
      <c r="J48" s="3" t="s">
        <v>105</v>
      </c>
      <c r="K48" s="4">
        <v>45757</v>
      </c>
      <c r="L48" s="3">
        <v>209533</v>
      </c>
      <c r="M48" s="3" t="s">
        <v>20</v>
      </c>
      <c r="N48" s="3">
        <v>27</v>
      </c>
      <c r="O48" s="4">
        <v>45957</v>
      </c>
      <c r="P48" s="4">
        <v>46001</v>
      </c>
      <c r="Q48" s="3" t="s">
        <v>106</v>
      </c>
    </row>
    <row r="49" spans="1:17" x14ac:dyDescent="0.25">
      <c r="A49" s="4">
        <v>45940</v>
      </c>
      <c r="B49" s="6">
        <v>2000</v>
      </c>
      <c r="C49" s="6">
        <f t="shared" si="2"/>
        <v>200</v>
      </c>
      <c r="D49" s="3">
        <v>2</v>
      </c>
      <c r="E49" s="4">
        <v>45932</v>
      </c>
      <c r="F49" s="6">
        <v>0</v>
      </c>
      <c r="G49" s="3" t="s">
        <v>257</v>
      </c>
      <c r="H49" s="3" t="s">
        <v>258</v>
      </c>
      <c r="I49" s="3" t="s">
        <v>133</v>
      </c>
      <c r="J49" s="3" t="s">
        <v>163</v>
      </c>
      <c r="K49" s="4" t="s">
        <v>130</v>
      </c>
      <c r="L49" s="3">
        <v>205229</v>
      </c>
      <c r="M49" s="3" t="s">
        <v>224</v>
      </c>
      <c r="N49" s="3">
        <v>17</v>
      </c>
      <c r="O49" s="4">
        <v>45947</v>
      </c>
      <c r="P49" s="4">
        <v>46001</v>
      </c>
      <c r="Q49" s="3" t="s">
        <v>106</v>
      </c>
    </row>
    <row r="50" spans="1:17" x14ac:dyDescent="0.25">
      <c r="A50" s="4">
        <v>45940</v>
      </c>
      <c r="B50" s="6">
        <v>1348.29</v>
      </c>
      <c r="C50" s="6">
        <f t="shared" si="2"/>
        <v>134.82900000000001</v>
      </c>
      <c r="D50" s="3">
        <v>20</v>
      </c>
      <c r="E50" s="4">
        <v>45939</v>
      </c>
      <c r="F50" s="6">
        <v>0</v>
      </c>
      <c r="G50" s="3" t="s">
        <v>259</v>
      </c>
      <c r="H50" s="3" t="s">
        <v>260</v>
      </c>
      <c r="I50" s="3" t="s">
        <v>109</v>
      </c>
      <c r="J50" s="3"/>
      <c r="K50" s="4"/>
      <c r="L50" s="3"/>
      <c r="M50" s="3" t="s">
        <v>261</v>
      </c>
      <c r="N50" s="3">
        <v>17</v>
      </c>
      <c r="O50" s="4">
        <v>45947</v>
      </c>
      <c r="P50" s="4">
        <v>46001</v>
      </c>
      <c r="Q50" s="3"/>
    </row>
    <row r="51" spans="1:17" x14ac:dyDescent="0.25">
      <c r="A51" s="4">
        <v>45940</v>
      </c>
      <c r="B51" s="5">
        <v>1000</v>
      </c>
      <c r="C51" s="5">
        <v>1000</v>
      </c>
      <c r="D51" s="3">
        <v>1</v>
      </c>
      <c r="E51" s="4">
        <v>45936</v>
      </c>
      <c r="F51" s="6">
        <v>0</v>
      </c>
      <c r="G51" s="3" t="s">
        <v>262</v>
      </c>
      <c r="H51" s="3" t="s">
        <v>263</v>
      </c>
      <c r="I51" s="3" t="s">
        <v>133</v>
      </c>
      <c r="J51" s="3" t="s">
        <v>163</v>
      </c>
      <c r="K51" s="4">
        <v>46260</v>
      </c>
      <c r="L51" s="3">
        <v>197623</v>
      </c>
      <c r="M51" s="3" t="s">
        <v>451</v>
      </c>
      <c r="N51" s="3">
        <v>17</v>
      </c>
      <c r="O51" s="4">
        <v>45947</v>
      </c>
      <c r="P51" s="4">
        <v>46001</v>
      </c>
      <c r="Q51" s="3" t="s">
        <v>264</v>
      </c>
    </row>
    <row r="52" spans="1:17" x14ac:dyDescent="0.25">
      <c r="A52" s="4">
        <v>45940</v>
      </c>
      <c r="B52" s="5">
        <v>931.32</v>
      </c>
      <c r="C52" s="5">
        <f>SUM(B52*10%)</f>
        <v>93.132000000000005</v>
      </c>
      <c r="D52" s="3">
        <v>106</v>
      </c>
      <c r="E52" s="4">
        <v>45940</v>
      </c>
      <c r="F52" s="6">
        <v>0</v>
      </c>
      <c r="G52" s="3" t="s">
        <v>265</v>
      </c>
      <c r="H52" s="3" t="s">
        <v>266</v>
      </c>
      <c r="I52" s="3" t="s">
        <v>109</v>
      </c>
      <c r="J52" s="3"/>
      <c r="K52" s="4"/>
      <c r="L52" s="3"/>
      <c r="M52" s="3" t="s">
        <v>267</v>
      </c>
      <c r="N52" s="3">
        <v>17</v>
      </c>
      <c r="O52" s="4">
        <v>45947</v>
      </c>
      <c r="P52" s="4">
        <v>45971</v>
      </c>
      <c r="Q52" s="3"/>
    </row>
    <row r="53" spans="1:17" x14ac:dyDescent="0.25">
      <c r="A53" s="4">
        <v>45940</v>
      </c>
      <c r="B53" s="6">
        <v>1597.77</v>
      </c>
      <c r="C53" s="6">
        <v>150</v>
      </c>
      <c r="D53" s="3">
        <v>172</v>
      </c>
      <c r="E53" s="4">
        <v>45940</v>
      </c>
      <c r="F53" s="6">
        <v>0</v>
      </c>
      <c r="G53" s="3" t="s">
        <v>268</v>
      </c>
      <c r="H53" s="3" t="s">
        <v>269</v>
      </c>
      <c r="I53" s="3" t="s">
        <v>109</v>
      </c>
      <c r="J53" s="3" t="s">
        <v>163</v>
      </c>
      <c r="K53" s="4">
        <v>46252</v>
      </c>
      <c r="L53" s="3">
        <v>92822</v>
      </c>
      <c r="M53" s="3" t="s">
        <v>144</v>
      </c>
      <c r="N53" s="3">
        <v>27</v>
      </c>
      <c r="O53" s="4">
        <v>45957</v>
      </c>
      <c r="P53" s="4">
        <v>46001</v>
      </c>
      <c r="Q53" s="3" t="s">
        <v>106</v>
      </c>
    </row>
    <row r="54" spans="1:17" x14ac:dyDescent="0.25">
      <c r="A54" s="4">
        <v>45940</v>
      </c>
      <c r="B54" s="5">
        <v>1038.0999999999999</v>
      </c>
      <c r="C54" s="5">
        <f t="shared" ref="C54:C61" si="3">SUM(B54*10%)</f>
        <v>103.81</v>
      </c>
      <c r="D54" s="3">
        <v>27</v>
      </c>
      <c r="E54" s="4">
        <v>45938</v>
      </c>
      <c r="F54" s="6">
        <v>0</v>
      </c>
      <c r="G54" s="3" t="s">
        <v>270</v>
      </c>
      <c r="H54" s="3" t="s">
        <v>271</v>
      </c>
      <c r="I54" s="3"/>
      <c r="J54" s="3" t="s">
        <v>163</v>
      </c>
      <c r="K54" s="4"/>
      <c r="L54" s="3"/>
      <c r="M54" s="3" t="s">
        <v>272</v>
      </c>
      <c r="N54" s="3">
        <v>17</v>
      </c>
      <c r="O54" s="4">
        <v>45947</v>
      </c>
      <c r="P54" s="4">
        <v>46001</v>
      </c>
      <c r="Q54" s="3" t="s">
        <v>106</v>
      </c>
    </row>
    <row r="55" spans="1:17" x14ac:dyDescent="0.25">
      <c r="A55" s="4">
        <v>45940</v>
      </c>
      <c r="B55" s="6">
        <v>600</v>
      </c>
      <c r="C55" s="6">
        <f t="shared" si="3"/>
        <v>60</v>
      </c>
      <c r="D55" s="3">
        <v>14</v>
      </c>
      <c r="E55" s="4">
        <v>45936</v>
      </c>
      <c r="F55" s="6">
        <v>0</v>
      </c>
      <c r="G55" s="3" t="s">
        <v>273</v>
      </c>
      <c r="H55" s="3" t="s">
        <v>274</v>
      </c>
      <c r="I55" s="3" t="s">
        <v>133</v>
      </c>
      <c r="J55" s="3" t="s">
        <v>96</v>
      </c>
      <c r="K55" s="4">
        <v>45906</v>
      </c>
      <c r="L55" s="3" t="s">
        <v>275</v>
      </c>
      <c r="M55" s="3" t="s">
        <v>276</v>
      </c>
      <c r="N55" s="3">
        <v>17</v>
      </c>
      <c r="O55" s="4">
        <v>45947</v>
      </c>
      <c r="P55" s="4">
        <v>46001</v>
      </c>
      <c r="Q55" s="3" t="s">
        <v>187</v>
      </c>
    </row>
    <row r="56" spans="1:17" x14ac:dyDescent="0.25">
      <c r="A56" s="4">
        <v>45940</v>
      </c>
      <c r="B56" s="6">
        <v>1000</v>
      </c>
      <c r="C56" s="6">
        <f t="shared" si="3"/>
        <v>100</v>
      </c>
      <c r="D56" s="3">
        <v>6</v>
      </c>
      <c r="E56" s="4">
        <v>45960</v>
      </c>
      <c r="F56" s="18">
        <v>106.95</v>
      </c>
      <c r="G56" s="3" t="s">
        <v>277</v>
      </c>
      <c r="H56" s="3" t="s">
        <v>278</v>
      </c>
      <c r="I56" s="3" t="s">
        <v>133</v>
      </c>
      <c r="J56" s="3"/>
      <c r="K56" s="4"/>
      <c r="L56" s="3"/>
      <c r="M56" s="3" t="s">
        <v>240</v>
      </c>
      <c r="N56" s="3">
        <v>17</v>
      </c>
      <c r="O56" s="4"/>
      <c r="P56" s="4">
        <v>46001</v>
      </c>
      <c r="Q56" s="3" t="s">
        <v>106</v>
      </c>
    </row>
    <row r="57" spans="1:17" x14ac:dyDescent="0.25">
      <c r="A57" s="4">
        <v>45940</v>
      </c>
      <c r="B57" s="5">
        <v>900</v>
      </c>
      <c r="C57" s="5">
        <f t="shared" si="3"/>
        <v>90</v>
      </c>
      <c r="D57" s="3">
        <v>163</v>
      </c>
      <c r="E57" s="4">
        <v>45940</v>
      </c>
      <c r="F57" s="6">
        <v>0</v>
      </c>
      <c r="G57" s="3" t="s">
        <v>279</v>
      </c>
      <c r="H57" s="3" t="s">
        <v>280</v>
      </c>
      <c r="I57" s="3" t="s">
        <v>109</v>
      </c>
      <c r="J57" s="3"/>
      <c r="K57" s="4"/>
      <c r="L57" s="3"/>
      <c r="M57" s="3" t="s">
        <v>281</v>
      </c>
      <c r="N57" s="3">
        <v>17</v>
      </c>
      <c r="O57" s="4">
        <v>45947</v>
      </c>
      <c r="P57" s="4">
        <v>46001</v>
      </c>
      <c r="Q57" s="3" t="s">
        <v>106</v>
      </c>
    </row>
    <row r="58" spans="1:17" x14ac:dyDescent="0.25">
      <c r="A58" s="4">
        <v>45940</v>
      </c>
      <c r="B58" s="6">
        <v>900</v>
      </c>
      <c r="C58" s="6">
        <f t="shared" si="3"/>
        <v>90</v>
      </c>
      <c r="D58" s="3">
        <v>25</v>
      </c>
      <c r="E58" s="4">
        <v>45939</v>
      </c>
      <c r="F58" s="6">
        <v>0</v>
      </c>
      <c r="G58" s="3" t="s">
        <v>282</v>
      </c>
      <c r="H58" s="3" t="s">
        <v>283</v>
      </c>
      <c r="I58" s="3"/>
      <c r="J58" s="3"/>
      <c r="K58" s="4"/>
      <c r="L58" s="3"/>
      <c r="M58" s="3" t="s">
        <v>284</v>
      </c>
      <c r="N58" s="3">
        <v>17</v>
      </c>
      <c r="O58" s="4">
        <v>45947</v>
      </c>
      <c r="P58" s="4">
        <v>46001</v>
      </c>
      <c r="Q58" s="3" t="s">
        <v>187</v>
      </c>
    </row>
    <row r="59" spans="1:17" x14ac:dyDescent="0.25">
      <c r="A59" s="4">
        <v>45940</v>
      </c>
      <c r="B59" s="6">
        <v>938.34</v>
      </c>
      <c r="C59" s="6">
        <f t="shared" si="3"/>
        <v>93.834000000000003</v>
      </c>
      <c r="D59" s="3">
        <v>25</v>
      </c>
      <c r="E59" s="4">
        <v>45940</v>
      </c>
      <c r="F59" s="6">
        <v>0</v>
      </c>
      <c r="G59" s="3" t="s">
        <v>285</v>
      </c>
      <c r="H59" s="3" t="s">
        <v>286</v>
      </c>
      <c r="I59" s="3"/>
      <c r="J59" s="3"/>
      <c r="K59" s="4"/>
      <c r="L59" s="3"/>
      <c r="M59" s="3" t="s">
        <v>287</v>
      </c>
      <c r="N59" s="3">
        <v>17</v>
      </c>
      <c r="O59" s="4">
        <v>45947</v>
      </c>
      <c r="P59" s="4">
        <v>46001</v>
      </c>
      <c r="Q59" s="3" t="s">
        <v>187</v>
      </c>
    </row>
    <row r="60" spans="1:17" x14ac:dyDescent="0.25">
      <c r="A60" s="4">
        <v>45940</v>
      </c>
      <c r="B60" s="6">
        <v>856.24</v>
      </c>
      <c r="C60" s="6">
        <f t="shared" si="3"/>
        <v>85.624000000000009</v>
      </c>
      <c r="D60" s="3">
        <v>39</v>
      </c>
      <c r="E60" s="4">
        <v>45940</v>
      </c>
      <c r="F60" s="6">
        <v>0</v>
      </c>
      <c r="G60" s="3" t="s">
        <v>288</v>
      </c>
      <c r="H60" s="3" t="s">
        <v>289</v>
      </c>
      <c r="I60" s="3" t="s">
        <v>109</v>
      </c>
      <c r="J60" s="3" t="s">
        <v>105</v>
      </c>
      <c r="K60" s="4">
        <v>45895</v>
      </c>
      <c r="L60" s="3"/>
      <c r="M60" s="3" t="s">
        <v>144</v>
      </c>
      <c r="N60" s="3">
        <v>27</v>
      </c>
      <c r="O60" s="4">
        <v>45957</v>
      </c>
      <c r="P60" s="4">
        <v>46001</v>
      </c>
      <c r="Q60" s="3"/>
    </row>
    <row r="61" spans="1:17" x14ac:dyDescent="0.25">
      <c r="A61" s="4">
        <v>45940</v>
      </c>
      <c r="B61" s="6">
        <v>2200</v>
      </c>
      <c r="C61" s="6">
        <f t="shared" si="3"/>
        <v>220</v>
      </c>
      <c r="D61" s="3">
        <v>7</v>
      </c>
      <c r="E61" s="4">
        <v>45938</v>
      </c>
      <c r="F61" s="6">
        <v>0</v>
      </c>
      <c r="G61" s="3" t="s">
        <v>290</v>
      </c>
      <c r="H61" s="3" t="s">
        <v>291</v>
      </c>
      <c r="I61" s="3" t="s">
        <v>133</v>
      </c>
      <c r="J61" s="3" t="s">
        <v>96</v>
      </c>
      <c r="K61" s="4">
        <v>46109</v>
      </c>
      <c r="L61" s="3"/>
      <c r="M61" s="3" t="s">
        <v>292</v>
      </c>
      <c r="N61" s="3">
        <v>17</v>
      </c>
      <c r="O61" s="4">
        <v>45947</v>
      </c>
      <c r="P61" s="4">
        <v>46001</v>
      </c>
      <c r="Q61" s="3" t="s">
        <v>106</v>
      </c>
    </row>
    <row r="62" spans="1:17" x14ac:dyDescent="0.25">
      <c r="A62" s="19"/>
      <c r="B62" s="18"/>
      <c r="C62" s="18"/>
      <c r="D62" s="20"/>
      <c r="E62" s="19"/>
      <c r="F62" s="18"/>
      <c r="G62" s="20"/>
      <c r="H62" s="20"/>
      <c r="I62" s="20"/>
      <c r="J62" s="20"/>
      <c r="K62" s="19"/>
      <c r="L62" s="20"/>
      <c r="M62" s="20"/>
      <c r="N62" s="20"/>
      <c r="O62" s="19"/>
      <c r="P62" s="19"/>
      <c r="Q62" s="20"/>
    </row>
    <row r="63" spans="1:17" x14ac:dyDescent="0.25">
      <c r="A63" s="4">
        <v>45945</v>
      </c>
      <c r="B63" s="5">
        <v>1192.1500000000001</v>
      </c>
      <c r="C63" s="5">
        <f>SUM(B63*10%)</f>
        <v>119.21500000000002</v>
      </c>
      <c r="D63" s="3">
        <v>38</v>
      </c>
      <c r="E63" s="4">
        <v>45937</v>
      </c>
      <c r="F63" s="6">
        <v>0</v>
      </c>
      <c r="G63" s="3" t="s">
        <v>293</v>
      </c>
      <c r="H63" s="3" t="s">
        <v>294</v>
      </c>
      <c r="I63" s="3" t="s">
        <v>109</v>
      </c>
      <c r="J63" s="3" t="s">
        <v>295</v>
      </c>
      <c r="K63" s="4">
        <v>46301</v>
      </c>
      <c r="L63" s="3"/>
      <c r="M63" s="3" t="s">
        <v>144</v>
      </c>
      <c r="N63" s="3">
        <v>27</v>
      </c>
      <c r="O63" s="4">
        <v>45957</v>
      </c>
      <c r="P63" s="4">
        <v>45945</v>
      </c>
      <c r="Q63" s="3"/>
    </row>
    <row r="64" spans="1:17" x14ac:dyDescent="0.25">
      <c r="A64" s="4">
        <v>45945</v>
      </c>
      <c r="B64" s="5">
        <v>3150</v>
      </c>
      <c r="C64" s="5">
        <v>78.75</v>
      </c>
      <c r="D64" s="3">
        <v>4</v>
      </c>
      <c r="E64" s="4">
        <v>45945</v>
      </c>
      <c r="F64" s="6">
        <v>0</v>
      </c>
      <c r="G64" s="3" t="s">
        <v>296</v>
      </c>
      <c r="H64" s="3" t="s">
        <v>297</v>
      </c>
      <c r="I64" s="3" t="s">
        <v>109</v>
      </c>
      <c r="J64" s="3"/>
      <c r="K64" s="4"/>
      <c r="L64" s="3"/>
      <c r="M64" s="3" t="s">
        <v>298</v>
      </c>
      <c r="N64" s="3">
        <v>22</v>
      </c>
      <c r="O64" s="4">
        <v>45952</v>
      </c>
      <c r="P64" s="4">
        <v>45915</v>
      </c>
      <c r="Q64" s="3"/>
    </row>
    <row r="65" spans="1:17" x14ac:dyDescent="0.25">
      <c r="A65" s="4">
        <v>45945</v>
      </c>
      <c r="B65" s="5">
        <v>8000</v>
      </c>
      <c r="C65" s="5">
        <f t="shared" ref="C65:C75" si="4">SUM(B65*10%)</f>
        <v>800</v>
      </c>
      <c r="D65" s="3">
        <v>53</v>
      </c>
      <c r="E65" s="4">
        <v>45945</v>
      </c>
      <c r="F65" s="6">
        <v>0</v>
      </c>
      <c r="G65" s="3" t="s">
        <v>299</v>
      </c>
      <c r="H65" s="3" t="s">
        <v>300</v>
      </c>
      <c r="I65" s="3" t="s">
        <v>109</v>
      </c>
      <c r="J65" s="3"/>
      <c r="K65" s="4"/>
      <c r="L65" s="3"/>
      <c r="M65" s="3" t="s">
        <v>301</v>
      </c>
      <c r="N65" s="3">
        <v>22</v>
      </c>
      <c r="O65" s="4">
        <v>45952</v>
      </c>
      <c r="P65" s="4">
        <v>46006</v>
      </c>
      <c r="Q65" s="3" t="s">
        <v>106</v>
      </c>
    </row>
    <row r="66" spans="1:17" x14ac:dyDescent="0.25">
      <c r="A66" s="4">
        <v>45945</v>
      </c>
      <c r="B66" s="5">
        <v>1088.93</v>
      </c>
      <c r="C66" s="5">
        <f t="shared" si="4"/>
        <v>108.89300000000001</v>
      </c>
      <c r="D66" s="3">
        <v>71</v>
      </c>
      <c r="E66" s="4">
        <v>45945</v>
      </c>
      <c r="F66" s="6">
        <v>0</v>
      </c>
      <c r="G66" s="3" t="s">
        <v>302</v>
      </c>
      <c r="H66" s="3" t="s">
        <v>303</v>
      </c>
      <c r="I66" s="3" t="s">
        <v>109</v>
      </c>
      <c r="J66" s="3" t="s">
        <v>105</v>
      </c>
      <c r="K66" s="4">
        <v>46081</v>
      </c>
      <c r="L66" s="3"/>
      <c r="M66" s="3" t="s">
        <v>304</v>
      </c>
      <c r="N66" s="3">
        <v>22</v>
      </c>
      <c r="O66" s="4">
        <v>45952</v>
      </c>
      <c r="P66" s="4">
        <v>45976</v>
      </c>
      <c r="Q66" s="3" t="s">
        <v>106</v>
      </c>
    </row>
    <row r="67" spans="1:17" x14ac:dyDescent="0.25">
      <c r="A67" s="4">
        <v>45945</v>
      </c>
      <c r="B67" s="5">
        <v>1100</v>
      </c>
      <c r="C67" s="5">
        <f t="shared" si="4"/>
        <v>110</v>
      </c>
      <c r="D67" s="3">
        <v>42</v>
      </c>
      <c r="E67" s="4">
        <v>45945</v>
      </c>
      <c r="F67" s="6">
        <v>0</v>
      </c>
      <c r="G67" s="3" t="s">
        <v>305</v>
      </c>
      <c r="H67" s="3" t="s">
        <v>306</v>
      </c>
      <c r="I67" s="3" t="s">
        <v>109</v>
      </c>
      <c r="J67" s="3"/>
      <c r="K67" s="4"/>
      <c r="L67" s="3"/>
      <c r="M67" s="3" t="s">
        <v>307</v>
      </c>
      <c r="N67" s="3">
        <v>22</v>
      </c>
      <c r="O67" s="4">
        <v>45952</v>
      </c>
      <c r="P67" s="4">
        <v>46006</v>
      </c>
      <c r="Q67" s="3" t="s">
        <v>106</v>
      </c>
    </row>
    <row r="68" spans="1:17" x14ac:dyDescent="0.25">
      <c r="A68" s="4">
        <v>45945</v>
      </c>
      <c r="B68" s="5">
        <v>1014.17</v>
      </c>
      <c r="C68" s="5">
        <f t="shared" si="4"/>
        <v>101.417</v>
      </c>
      <c r="D68" s="3">
        <v>54</v>
      </c>
      <c r="E68" s="4">
        <v>45945</v>
      </c>
      <c r="F68" s="6">
        <v>0</v>
      </c>
      <c r="G68" s="3" t="s">
        <v>308</v>
      </c>
      <c r="H68" s="3" t="s">
        <v>309</v>
      </c>
      <c r="I68" s="3" t="s">
        <v>109</v>
      </c>
      <c r="J68" s="3"/>
      <c r="K68" s="4"/>
      <c r="L68" s="3"/>
      <c r="M68" s="3" t="s">
        <v>144</v>
      </c>
      <c r="N68" s="3">
        <v>27</v>
      </c>
      <c r="O68" s="4">
        <v>45957</v>
      </c>
      <c r="P68" s="4">
        <v>46006</v>
      </c>
      <c r="Q68" s="3"/>
    </row>
    <row r="69" spans="1:17" x14ac:dyDescent="0.25">
      <c r="A69" s="4">
        <v>45945</v>
      </c>
      <c r="B69" s="5">
        <v>637.98</v>
      </c>
      <c r="C69" s="5">
        <f t="shared" si="4"/>
        <v>63.798000000000002</v>
      </c>
      <c r="D69" s="3">
        <v>21</v>
      </c>
      <c r="E69" s="4">
        <v>45945</v>
      </c>
      <c r="F69" s="6">
        <v>0</v>
      </c>
      <c r="G69" s="3" t="s">
        <v>310</v>
      </c>
      <c r="H69" s="3" t="s">
        <v>311</v>
      </c>
      <c r="I69" s="3" t="s">
        <v>109</v>
      </c>
      <c r="J69" s="3"/>
      <c r="K69" s="4"/>
      <c r="L69" s="3"/>
      <c r="M69" s="3" t="s">
        <v>144</v>
      </c>
      <c r="N69" s="3">
        <v>27</v>
      </c>
      <c r="O69" s="4">
        <v>45957</v>
      </c>
      <c r="P69" s="4">
        <v>46006</v>
      </c>
      <c r="Q69" s="3" t="s">
        <v>106</v>
      </c>
    </row>
    <row r="70" spans="1:17" x14ac:dyDescent="0.25">
      <c r="A70" s="4">
        <v>45945</v>
      </c>
      <c r="B70" s="5">
        <v>726.67</v>
      </c>
      <c r="C70" s="5">
        <f t="shared" si="4"/>
        <v>72.667000000000002</v>
      </c>
      <c r="D70" s="3">
        <v>26</v>
      </c>
      <c r="E70" s="4">
        <v>45950</v>
      </c>
      <c r="F70" s="6">
        <v>79.05</v>
      </c>
      <c r="G70" s="3" t="s">
        <v>312</v>
      </c>
      <c r="H70" s="3" t="s">
        <v>313</v>
      </c>
      <c r="I70" s="3" t="s">
        <v>133</v>
      </c>
      <c r="J70" s="3" t="s">
        <v>295</v>
      </c>
      <c r="K70" s="4">
        <v>46218</v>
      </c>
      <c r="L70" s="3"/>
      <c r="M70" s="3" t="s">
        <v>144</v>
      </c>
      <c r="N70" s="3">
        <v>27</v>
      </c>
      <c r="O70" s="4">
        <v>45957</v>
      </c>
      <c r="P70" s="4">
        <v>46006</v>
      </c>
      <c r="Q70" s="3" t="s">
        <v>106</v>
      </c>
    </row>
    <row r="71" spans="1:17" x14ac:dyDescent="0.25">
      <c r="A71" s="4">
        <v>45945</v>
      </c>
      <c r="B71" s="5">
        <v>1065.4000000000001</v>
      </c>
      <c r="C71" s="5">
        <f t="shared" si="4"/>
        <v>106.54000000000002</v>
      </c>
      <c r="D71" s="3">
        <v>32</v>
      </c>
      <c r="E71" s="4">
        <v>45944</v>
      </c>
      <c r="F71" s="6">
        <v>0</v>
      </c>
      <c r="G71" s="3" t="s">
        <v>314</v>
      </c>
      <c r="H71" s="3" t="s">
        <v>315</v>
      </c>
      <c r="I71" s="3" t="s">
        <v>109</v>
      </c>
      <c r="J71" s="3"/>
      <c r="K71" s="4"/>
      <c r="L71" s="3"/>
      <c r="M71" s="3" t="s">
        <v>316</v>
      </c>
      <c r="N71" s="3">
        <v>22</v>
      </c>
      <c r="O71" s="4">
        <v>45952</v>
      </c>
      <c r="P71" s="4">
        <v>46006</v>
      </c>
      <c r="Q71" s="3" t="s">
        <v>106</v>
      </c>
    </row>
    <row r="72" spans="1:17" x14ac:dyDescent="0.25">
      <c r="A72" s="4">
        <v>45945</v>
      </c>
      <c r="B72" s="5">
        <v>852.64</v>
      </c>
      <c r="C72" s="5">
        <f t="shared" si="4"/>
        <v>85.26400000000001</v>
      </c>
      <c r="D72" s="3">
        <v>64</v>
      </c>
      <c r="E72" s="4">
        <v>45938</v>
      </c>
      <c r="F72" s="6">
        <v>0</v>
      </c>
      <c r="G72" s="3" t="s">
        <v>317</v>
      </c>
      <c r="H72" s="3" t="s">
        <v>318</v>
      </c>
      <c r="I72" s="3" t="s">
        <v>109</v>
      </c>
      <c r="J72" s="3" t="s">
        <v>295</v>
      </c>
      <c r="K72" s="4">
        <v>46645</v>
      </c>
      <c r="L72" s="3"/>
      <c r="M72" s="3" t="s">
        <v>319</v>
      </c>
      <c r="N72" s="3">
        <v>22</v>
      </c>
      <c r="O72" s="4">
        <v>45952</v>
      </c>
      <c r="P72" s="4">
        <v>46006</v>
      </c>
      <c r="Q72" s="3"/>
    </row>
    <row r="73" spans="1:17" x14ac:dyDescent="0.25">
      <c r="A73" s="4">
        <v>45945</v>
      </c>
      <c r="B73" s="5">
        <v>738.41</v>
      </c>
      <c r="C73" s="5">
        <f t="shared" si="4"/>
        <v>73.840999999999994</v>
      </c>
      <c r="D73" s="3">
        <v>29</v>
      </c>
      <c r="E73" s="4">
        <v>45944</v>
      </c>
      <c r="F73" s="6">
        <v>0</v>
      </c>
      <c r="G73" s="3" t="s">
        <v>320</v>
      </c>
      <c r="H73" s="3" t="s">
        <v>321</v>
      </c>
      <c r="I73" s="3" t="s">
        <v>109</v>
      </c>
      <c r="J73" s="3"/>
      <c r="K73" s="4"/>
      <c r="L73" s="3"/>
      <c r="M73" s="3" t="s">
        <v>319</v>
      </c>
      <c r="N73" s="3">
        <v>22</v>
      </c>
      <c r="O73" s="4">
        <v>45952</v>
      </c>
      <c r="P73" s="4">
        <v>46006</v>
      </c>
      <c r="Q73" s="3"/>
    </row>
    <row r="74" spans="1:17" x14ac:dyDescent="0.25">
      <c r="A74" s="4">
        <v>45945</v>
      </c>
      <c r="B74" s="5">
        <v>1030.18</v>
      </c>
      <c r="C74" s="5">
        <f t="shared" si="4"/>
        <v>103.01800000000001</v>
      </c>
      <c r="D74" s="3">
        <v>19</v>
      </c>
      <c r="E74" s="4">
        <v>45945</v>
      </c>
      <c r="F74" s="6">
        <v>0</v>
      </c>
      <c r="G74" s="3" t="s">
        <v>322</v>
      </c>
      <c r="H74" s="3" t="s">
        <v>323</v>
      </c>
      <c r="I74" s="3" t="s">
        <v>109</v>
      </c>
      <c r="J74" s="3"/>
      <c r="K74" s="4"/>
      <c r="L74" s="3"/>
      <c r="M74" s="3" t="s">
        <v>324</v>
      </c>
      <c r="N74" s="3">
        <v>22</v>
      </c>
      <c r="O74" s="4">
        <v>45952</v>
      </c>
      <c r="P74" s="4">
        <v>46006</v>
      </c>
      <c r="Q74" s="3" t="s">
        <v>106</v>
      </c>
    </row>
    <row r="75" spans="1:17" x14ac:dyDescent="0.25">
      <c r="A75" s="4">
        <v>45945</v>
      </c>
      <c r="B75" s="5">
        <v>1491.17</v>
      </c>
      <c r="C75" s="5">
        <f t="shared" si="4"/>
        <v>149.11700000000002</v>
      </c>
      <c r="D75" s="3">
        <v>41</v>
      </c>
      <c r="E75" s="4">
        <v>45945</v>
      </c>
      <c r="F75" s="6">
        <v>0</v>
      </c>
      <c r="G75" s="3" t="s">
        <v>325</v>
      </c>
      <c r="H75" s="3" t="s">
        <v>326</v>
      </c>
      <c r="I75" s="3" t="s">
        <v>109</v>
      </c>
      <c r="J75" s="3"/>
      <c r="K75" s="4"/>
      <c r="L75" s="3"/>
      <c r="M75" s="3" t="s">
        <v>327</v>
      </c>
      <c r="N75" s="3">
        <v>22</v>
      </c>
      <c r="O75" s="4">
        <v>45952</v>
      </c>
      <c r="P75" s="4">
        <v>46006</v>
      </c>
      <c r="Q75" s="3" t="s">
        <v>106</v>
      </c>
    </row>
    <row r="76" spans="1:17" x14ac:dyDescent="0.25">
      <c r="A76" s="4">
        <v>45945</v>
      </c>
      <c r="B76" s="5">
        <v>5000</v>
      </c>
      <c r="C76" s="5">
        <f>SUM(B76*8%)</f>
        <v>400</v>
      </c>
      <c r="D76" s="3">
        <v>5</v>
      </c>
      <c r="E76" s="4">
        <v>45933</v>
      </c>
      <c r="F76" s="6">
        <v>0</v>
      </c>
      <c r="G76" s="3" t="s">
        <v>328</v>
      </c>
      <c r="H76" s="3" t="s">
        <v>329</v>
      </c>
      <c r="I76" s="3" t="s">
        <v>109</v>
      </c>
      <c r="J76" s="3" t="s">
        <v>163</v>
      </c>
      <c r="K76" s="4">
        <v>46165</v>
      </c>
      <c r="L76" s="3">
        <v>61440</v>
      </c>
      <c r="M76" s="3" t="s">
        <v>330</v>
      </c>
      <c r="N76" s="3">
        <v>27</v>
      </c>
      <c r="O76" s="4">
        <v>45957</v>
      </c>
      <c r="P76" s="4">
        <v>46006</v>
      </c>
      <c r="Q76" s="3" t="s">
        <v>106</v>
      </c>
    </row>
    <row r="77" spans="1:17" x14ac:dyDescent="0.25">
      <c r="A77" s="19"/>
      <c r="B77" s="28"/>
      <c r="C77" s="28"/>
      <c r="D77" s="20"/>
      <c r="E77" s="19"/>
      <c r="F77" s="18"/>
      <c r="G77" s="20"/>
      <c r="H77" s="20"/>
      <c r="I77" s="20"/>
      <c r="J77" s="20"/>
      <c r="K77" s="19"/>
      <c r="L77" s="20"/>
      <c r="M77" s="20"/>
      <c r="N77" s="20"/>
      <c r="O77" s="19"/>
      <c r="P77" s="19"/>
      <c r="Q77" s="20"/>
    </row>
    <row r="78" spans="1:17" x14ac:dyDescent="0.25">
      <c r="A78" s="4">
        <v>45950</v>
      </c>
      <c r="B78" s="5">
        <v>3036.32</v>
      </c>
      <c r="C78" s="5">
        <v>292.81</v>
      </c>
      <c r="D78" s="3">
        <v>18</v>
      </c>
      <c r="E78" s="4">
        <v>45950</v>
      </c>
      <c r="F78" s="6">
        <v>0</v>
      </c>
      <c r="G78" s="3" t="s">
        <v>331</v>
      </c>
      <c r="H78" s="3" t="s">
        <v>332</v>
      </c>
      <c r="I78" s="3" t="s">
        <v>147</v>
      </c>
      <c r="J78" s="3"/>
      <c r="K78" s="4"/>
      <c r="L78" s="3"/>
      <c r="M78" s="3" t="s">
        <v>333</v>
      </c>
      <c r="N78" s="3">
        <v>27</v>
      </c>
      <c r="O78" s="4">
        <v>45957</v>
      </c>
      <c r="P78" s="4">
        <v>46011</v>
      </c>
      <c r="Q78" s="3" t="s">
        <v>106</v>
      </c>
    </row>
    <row r="79" spans="1:17" x14ac:dyDescent="0.25">
      <c r="A79" s="4">
        <v>45950</v>
      </c>
      <c r="B79" s="5">
        <v>3583.47</v>
      </c>
      <c r="C79" s="5">
        <f>SUM(B79*5%)</f>
        <v>179.17349999999999</v>
      </c>
      <c r="D79" s="3">
        <v>54</v>
      </c>
      <c r="E79" s="4">
        <v>45950</v>
      </c>
      <c r="F79" s="6">
        <v>0</v>
      </c>
      <c r="G79" s="3" t="s">
        <v>334</v>
      </c>
      <c r="H79" s="3" t="s">
        <v>335</v>
      </c>
      <c r="I79" s="3" t="s">
        <v>109</v>
      </c>
      <c r="J79" s="3"/>
      <c r="K79" s="4"/>
      <c r="L79" s="3"/>
      <c r="M79" s="3" t="s">
        <v>336</v>
      </c>
      <c r="N79" s="3">
        <v>27</v>
      </c>
      <c r="O79" s="4">
        <v>45957</v>
      </c>
      <c r="P79" s="4">
        <v>46011</v>
      </c>
      <c r="Q79" s="3" t="s">
        <v>106</v>
      </c>
    </row>
    <row r="80" spans="1:17" x14ac:dyDescent="0.25">
      <c r="A80" s="4">
        <v>45950</v>
      </c>
      <c r="B80" s="6">
        <v>698.29</v>
      </c>
      <c r="C80" s="6">
        <f t="shared" ref="C80:C86" si="5">SUM(B80*10%)</f>
        <v>69.828999999999994</v>
      </c>
      <c r="D80" s="3">
        <v>25</v>
      </c>
      <c r="E80" s="4">
        <v>45950</v>
      </c>
      <c r="F80" s="6">
        <v>0</v>
      </c>
      <c r="G80" s="3" t="s">
        <v>337</v>
      </c>
      <c r="H80" s="3" t="s">
        <v>338</v>
      </c>
      <c r="I80" s="3" t="s">
        <v>109</v>
      </c>
      <c r="J80" s="3" t="s">
        <v>96</v>
      </c>
      <c r="K80" s="4">
        <v>46315</v>
      </c>
      <c r="L80" s="3"/>
      <c r="M80" s="3" t="s">
        <v>110</v>
      </c>
      <c r="N80" s="3">
        <v>27</v>
      </c>
      <c r="O80" s="4">
        <v>45957</v>
      </c>
      <c r="P80" s="4">
        <v>46011</v>
      </c>
      <c r="Q80" s="3"/>
    </row>
    <row r="81" spans="1:17" x14ac:dyDescent="0.25">
      <c r="A81" s="4">
        <v>45950</v>
      </c>
      <c r="B81" s="5">
        <v>1800</v>
      </c>
      <c r="C81" s="5">
        <f t="shared" si="5"/>
        <v>180</v>
      </c>
      <c r="D81" s="3">
        <v>12</v>
      </c>
      <c r="E81" s="4">
        <v>45953</v>
      </c>
      <c r="F81" s="6">
        <v>180.95</v>
      </c>
      <c r="G81" s="3" t="s">
        <v>339</v>
      </c>
      <c r="H81" s="3" t="s">
        <v>340</v>
      </c>
      <c r="I81" s="3" t="s">
        <v>133</v>
      </c>
      <c r="J81" s="3"/>
      <c r="K81" s="4"/>
      <c r="L81" s="3"/>
      <c r="M81" s="3" t="s">
        <v>116</v>
      </c>
      <c r="N81" s="3">
        <v>27</v>
      </c>
      <c r="O81" s="4">
        <v>45957</v>
      </c>
      <c r="P81" s="4">
        <v>45981</v>
      </c>
      <c r="Q81" s="3" t="s">
        <v>106</v>
      </c>
    </row>
    <row r="82" spans="1:17" x14ac:dyDescent="0.25">
      <c r="A82" s="4">
        <v>45950</v>
      </c>
      <c r="B82" s="5">
        <v>744.31</v>
      </c>
      <c r="C82" s="5">
        <f t="shared" si="5"/>
        <v>74.430999999999997</v>
      </c>
      <c r="D82" s="3">
        <v>22</v>
      </c>
      <c r="E82" s="4">
        <v>45950</v>
      </c>
      <c r="F82" s="6">
        <v>0</v>
      </c>
      <c r="G82" s="3" t="s">
        <v>341</v>
      </c>
      <c r="H82" s="3" t="s">
        <v>342</v>
      </c>
      <c r="I82" s="3" t="s">
        <v>109</v>
      </c>
      <c r="J82" s="3" t="s">
        <v>105</v>
      </c>
      <c r="K82" s="4">
        <v>46045</v>
      </c>
      <c r="L82" s="3"/>
      <c r="M82" s="3" t="s">
        <v>343</v>
      </c>
      <c r="N82" s="3">
        <v>27</v>
      </c>
      <c r="O82" s="4">
        <v>45957</v>
      </c>
      <c r="P82" s="4">
        <v>46011</v>
      </c>
      <c r="Q82" s="3" t="s">
        <v>106</v>
      </c>
    </row>
    <row r="83" spans="1:17" x14ac:dyDescent="0.25">
      <c r="A83" s="4">
        <v>45950</v>
      </c>
      <c r="B83" s="5">
        <v>1200</v>
      </c>
      <c r="C83" s="5">
        <f t="shared" si="5"/>
        <v>120</v>
      </c>
      <c r="D83" s="3">
        <v>4</v>
      </c>
      <c r="E83" s="4">
        <v>45945</v>
      </c>
      <c r="F83" s="6">
        <v>0</v>
      </c>
      <c r="G83" s="3" t="s">
        <v>344</v>
      </c>
      <c r="H83" s="3" t="s">
        <v>345</v>
      </c>
      <c r="I83" s="3" t="s">
        <v>133</v>
      </c>
      <c r="J83" s="3" t="s">
        <v>96</v>
      </c>
      <c r="K83" s="4">
        <v>46211</v>
      </c>
      <c r="L83" s="3"/>
      <c r="M83" s="3" t="s">
        <v>346</v>
      </c>
      <c r="N83" s="3">
        <v>27</v>
      </c>
      <c r="O83" s="4">
        <v>45957</v>
      </c>
      <c r="P83" s="4">
        <v>45950</v>
      </c>
      <c r="Q83" s="3" t="s">
        <v>106</v>
      </c>
    </row>
    <row r="84" spans="1:17" x14ac:dyDescent="0.25">
      <c r="A84" s="4">
        <v>45950</v>
      </c>
      <c r="B84" s="5">
        <v>686.27</v>
      </c>
      <c r="C84" s="5">
        <f t="shared" si="5"/>
        <v>68.626999999999995</v>
      </c>
      <c r="D84" s="3">
        <v>23</v>
      </c>
      <c r="E84" s="4">
        <v>45947</v>
      </c>
      <c r="F84" s="6">
        <v>0</v>
      </c>
      <c r="G84" s="3" t="s">
        <v>347</v>
      </c>
      <c r="H84" s="3" t="s">
        <v>348</v>
      </c>
      <c r="I84" s="3" t="s">
        <v>133</v>
      </c>
      <c r="J84" s="3" t="s">
        <v>128</v>
      </c>
      <c r="K84" s="4">
        <v>45979</v>
      </c>
      <c r="L84" s="3"/>
      <c r="M84" s="3" t="s">
        <v>349</v>
      </c>
      <c r="N84" s="3">
        <v>27</v>
      </c>
      <c r="O84" s="4">
        <v>45957</v>
      </c>
      <c r="P84" s="4">
        <v>45950</v>
      </c>
      <c r="Q84" s="3" t="s">
        <v>187</v>
      </c>
    </row>
    <row r="85" spans="1:17" x14ac:dyDescent="0.25">
      <c r="A85" s="4">
        <v>45950</v>
      </c>
      <c r="B85" s="5">
        <v>750</v>
      </c>
      <c r="C85" s="5">
        <f t="shared" si="5"/>
        <v>75</v>
      </c>
      <c r="D85" s="3">
        <v>6</v>
      </c>
      <c r="E85" s="4">
        <v>45950</v>
      </c>
      <c r="F85" s="6">
        <v>0</v>
      </c>
      <c r="G85" s="3" t="s">
        <v>350</v>
      </c>
      <c r="H85" s="3" t="s">
        <v>351</v>
      </c>
      <c r="I85" s="3" t="s">
        <v>109</v>
      </c>
      <c r="J85" s="3"/>
      <c r="K85" s="4"/>
      <c r="L85" s="3"/>
      <c r="M85" s="3" t="s">
        <v>349</v>
      </c>
      <c r="N85" s="3">
        <v>27</v>
      </c>
      <c r="O85" s="4">
        <v>45957</v>
      </c>
      <c r="P85" s="4">
        <v>46011</v>
      </c>
      <c r="Q85" s="3" t="s">
        <v>187</v>
      </c>
    </row>
    <row r="86" spans="1:17" x14ac:dyDescent="0.25">
      <c r="A86" s="4">
        <v>45950</v>
      </c>
      <c r="B86" s="5">
        <v>650.64</v>
      </c>
      <c r="C86" s="5">
        <f t="shared" si="5"/>
        <v>65.064000000000007</v>
      </c>
      <c r="D86" s="3">
        <v>20</v>
      </c>
      <c r="E86" s="4">
        <v>45950</v>
      </c>
      <c r="F86" s="6">
        <v>0</v>
      </c>
      <c r="G86" s="3" t="s">
        <v>352</v>
      </c>
      <c r="H86" s="3" t="s">
        <v>353</v>
      </c>
      <c r="I86" s="3" t="s">
        <v>109</v>
      </c>
      <c r="J86" s="3"/>
      <c r="K86" s="4"/>
      <c r="L86" s="3"/>
      <c r="M86" s="3" t="s">
        <v>354</v>
      </c>
      <c r="N86" s="3">
        <v>17</v>
      </c>
      <c r="O86" s="4" t="s">
        <v>452</v>
      </c>
      <c r="P86" s="4">
        <v>46011</v>
      </c>
      <c r="Q86" s="3" t="s">
        <v>187</v>
      </c>
    </row>
    <row r="87" spans="1:17" x14ac:dyDescent="0.25">
      <c r="A87" s="4">
        <v>45950</v>
      </c>
      <c r="B87" s="5">
        <v>1300</v>
      </c>
      <c r="C87" s="5">
        <v>1300</v>
      </c>
      <c r="D87" s="3">
        <v>1</v>
      </c>
      <c r="E87" s="4">
        <v>45950</v>
      </c>
      <c r="F87" s="6">
        <v>0</v>
      </c>
      <c r="G87" s="3" t="s">
        <v>464</v>
      </c>
      <c r="H87" s="3" t="s">
        <v>465</v>
      </c>
      <c r="I87" s="3" t="s">
        <v>133</v>
      </c>
      <c r="J87" s="3" t="s">
        <v>96</v>
      </c>
      <c r="K87" s="4">
        <v>46294</v>
      </c>
      <c r="L87" s="3"/>
      <c r="M87" s="3" t="s">
        <v>144</v>
      </c>
      <c r="N87" s="3">
        <v>27</v>
      </c>
      <c r="O87" s="4">
        <v>45957</v>
      </c>
      <c r="P87" s="4">
        <v>46011</v>
      </c>
      <c r="Q87" s="3" t="s">
        <v>148</v>
      </c>
    </row>
    <row r="88" spans="1:17" x14ac:dyDescent="0.25">
      <c r="A88" s="4">
        <v>45950</v>
      </c>
      <c r="B88" s="5">
        <v>1200</v>
      </c>
      <c r="C88" s="5">
        <f>SUM(B88*10%)</f>
        <v>120</v>
      </c>
      <c r="D88" s="3" t="s">
        <v>455</v>
      </c>
      <c r="E88" s="4">
        <v>45945</v>
      </c>
      <c r="F88" s="6" t="s">
        <v>456</v>
      </c>
      <c r="G88" s="3" t="s">
        <v>355</v>
      </c>
      <c r="H88" s="3" t="s">
        <v>356</v>
      </c>
      <c r="I88" s="3" t="s">
        <v>133</v>
      </c>
      <c r="J88" s="3"/>
      <c r="K88" s="4"/>
      <c r="L88" s="3"/>
      <c r="M88" s="3" t="s">
        <v>319</v>
      </c>
      <c r="N88" s="3">
        <v>27</v>
      </c>
      <c r="O88" s="19"/>
      <c r="P88" s="4">
        <v>46011</v>
      </c>
      <c r="Q88" s="3" t="s">
        <v>106</v>
      </c>
    </row>
    <row r="89" spans="1:17" x14ac:dyDescent="0.25">
      <c r="A89" s="4">
        <v>45950</v>
      </c>
      <c r="B89" s="5">
        <v>900.4</v>
      </c>
      <c r="C89" s="5">
        <f>SUM(B89*10%)</f>
        <v>90.04</v>
      </c>
      <c r="D89" s="3">
        <v>44</v>
      </c>
      <c r="E89" s="4">
        <v>45947</v>
      </c>
      <c r="F89" s="6">
        <v>0</v>
      </c>
      <c r="G89" s="3" t="s">
        <v>358</v>
      </c>
      <c r="H89" s="3" t="s">
        <v>359</v>
      </c>
      <c r="I89" s="3" t="s">
        <v>109</v>
      </c>
      <c r="J89" s="3"/>
      <c r="K89" s="4"/>
      <c r="L89" s="3"/>
      <c r="M89" s="3" t="s">
        <v>360</v>
      </c>
      <c r="N89" s="3">
        <v>27</v>
      </c>
      <c r="O89" s="4">
        <v>45957</v>
      </c>
      <c r="P89" s="4">
        <v>46011</v>
      </c>
      <c r="Q89" s="3" t="s">
        <v>106</v>
      </c>
    </row>
    <row r="90" spans="1:17" x14ac:dyDescent="0.25">
      <c r="A90" s="4">
        <v>45950</v>
      </c>
      <c r="B90" s="5">
        <v>3000</v>
      </c>
      <c r="C90" s="5">
        <v>1500</v>
      </c>
      <c r="D90" s="3">
        <v>7</v>
      </c>
      <c r="E90" s="4">
        <v>45950</v>
      </c>
      <c r="F90" s="6">
        <v>0</v>
      </c>
      <c r="G90" s="3" t="s">
        <v>361</v>
      </c>
      <c r="H90" s="3" t="s">
        <v>362</v>
      </c>
      <c r="I90" s="3" t="s">
        <v>109</v>
      </c>
      <c r="J90" s="3"/>
      <c r="K90" s="4"/>
      <c r="L90" s="3"/>
      <c r="M90" s="3" t="s">
        <v>363</v>
      </c>
      <c r="N90" s="3">
        <v>27</v>
      </c>
      <c r="O90" s="3"/>
      <c r="P90" s="4">
        <v>45950</v>
      </c>
      <c r="Q90" s="3" t="s">
        <v>106</v>
      </c>
    </row>
    <row r="91" spans="1:17" x14ac:dyDescent="0.25">
      <c r="A91" s="4">
        <v>45950</v>
      </c>
      <c r="B91" s="5">
        <v>637.98</v>
      </c>
      <c r="C91" s="5">
        <f>SUM(B91*10%)</f>
        <v>63.798000000000002</v>
      </c>
      <c r="D91" s="3">
        <v>33</v>
      </c>
      <c r="E91" s="4">
        <v>45947</v>
      </c>
      <c r="F91" s="6">
        <v>0</v>
      </c>
      <c r="G91" s="3" t="s">
        <v>364</v>
      </c>
      <c r="H91" s="3" t="s">
        <v>365</v>
      </c>
      <c r="I91" s="3" t="s">
        <v>109</v>
      </c>
      <c r="J91" s="3"/>
      <c r="K91" s="4"/>
      <c r="L91" s="3"/>
      <c r="M91" s="3" t="s">
        <v>366</v>
      </c>
      <c r="N91" s="3">
        <v>27</v>
      </c>
      <c r="O91" s="4">
        <v>45957</v>
      </c>
      <c r="P91" s="4">
        <v>46011</v>
      </c>
      <c r="Q91" s="3" t="s">
        <v>106</v>
      </c>
    </row>
    <row r="92" spans="1:17" x14ac:dyDescent="0.25">
      <c r="A92" s="4">
        <v>45950</v>
      </c>
      <c r="B92" s="5">
        <v>3721.55</v>
      </c>
      <c r="C92" s="5">
        <f>SUM(B92*10%)</f>
        <v>372.15500000000003</v>
      </c>
      <c r="D92" s="3">
        <v>21</v>
      </c>
      <c r="E92" s="4">
        <v>45950</v>
      </c>
      <c r="F92" s="6">
        <v>0</v>
      </c>
      <c r="G92" s="3" t="s">
        <v>367</v>
      </c>
      <c r="H92" s="3" t="s">
        <v>368</v>
      </c>
      <c r="I92" s="3" t="s">
        <v>109</v>
      </c>
      <c r="J92" s="3"/>
      <c r="K92" s="4"/>
      <c r="L92" s="3"/>
      <c r="M92" s="3" t="s">
        <v>369</v>
      </c>
      <c r="N92" s="3">
        <v>27</v>
      </c>
      <c r="O92" s="4">
        <v>45957</v>
      </c>
      <c r="P92" s="4">
        <v>46011</v>
      </c>
      <c r="Q92" s="3" t="s">
        <v>106</v>
      </c>
    </row>
    <row r="93" spans="1:17" x14ac:dyDescent="0.25">
      <c r="A93" s="4">
        <v>45950</v>
      </c>
      <c r="B93" s="5">
        <v>1701.28</v>
      </c>
      <c r="C93" s="5">
        <f>SUM(B93*10%)</f>
        <v>170.12800000000001</v>
      </c>
      <c r="D93" s="3">
        <v>33</v>
      </c>
      <c r="E93" s="4">
        <v>45950</v>
      </c>
      <c r="F93" s="6">
        <v>0</v>
      </c>
      <c r="G93" s="3" t="s">
        <v>370</v>
      </c>
      <c r="H93" s="3" t="s">
        <v>371</v>
      </c>
      <c r="I93" s="3" t="s">
        <v>109</v>
      </c>
      <c r="J93" s="3"/>
      <c r="K93" s="4"/>
      <c r="L93" s="3"/>
      <c r="M93" s="3" t="s">
        <v>372</v>
      </c>
      <c r="N93" s="3">
        <v>27</v>
      </c>
      <c r="O93" s="4">
        <v>45957</v>
      </c>
      <c r="P93" s="4">
        <v>46011</v>
      </c>
      <c r="Q93" s="3" t="s">
        <v>106</v>
      </c>
    </row>
    <row r="94" spans="1:17" x14ac:dyDescent="0.25">
      <c r="A94" s="4">
        <v>45950</v>
      </c>
      <c r="B94" s="6">
        <v>9654</v>
      </c>
      <c r="C94" s="6">
        <f>SUM(B94*8%)</f>
        <v>772.32</v>
      </c>
      <c r="D94" s="3">
        <v>20</v>
      </c>
      <c r="E94" s="4">
        <v>45950</v>
      </c>
      <c r="F94" s="6">
        <v>0</v>
      </c>
      <c r="G94" s="3" t="s">
        <v>373</v>
      </c>
      <c r="H94" s="3" t="s">
        <v>374</v>
      </c>
      <c r="I94" s="3" t="s">
        <v>109</v>
      </c>
      <c r="J94" s="3" t="s">
        <v>163</v>
      </c>
      <c r="K94" s="4"/>
      <c r="L94" s="3">
        <v>7390</v>
      </c>
      <c r="M94" s="3" t="s">
        <v>375</v>
      </c>
      <c r="N94" s="3">
        <v>22</v>
      </c>
      <c r="O94" s="4">
        <v>45952</v>
      </c>
      <c r="P94" s="4">
        <v>45950</v>
      </c>
      <c r="Q94" s="3" t="s">
        <v>106</v>
      </c>
    </row>
    <row r="95" spans="1:17" x14ac:dyDescent="0.25">
      <c r="A95" s="4">
        <v>45950</v>
      </c>
      <c r="B95" s="6">
        <v>1500</v>
      </c>
      <c r="C95" s="6">
        <f>SUM(B95*10%)</f>
        <v>150</v>
      </c>
      <c r="D95" s="3">
        <v>7</v>
      </c>
      <c r="E95" s="4">
        <v>45936</v>
      </c>
      <c r="F95" s="6">
        <v>0</v>
      </c>
      <c r="G95" s="3" t="s">
        <v>376</v>
      </c>
      <c r="H95" s="3" t="s">
        <v>377</v>
      </c>
      <c r="I95" s="3" t="s">
        <v>109</v>
      </c>
      <c r="J95" s="3"/>
      <c r="K95" s="4"/>
      <c r="L95" s="3"/>
      <c r="M95" s="3" t="s">
        <v>378</v>
      </c>
      <c r="N95" s="3">
        <v>27</v>
      </c>
      <c r="O95" s="4">
        <v>45957</v>
      </c>
      <c r="P95" s="4">
        <v>46011</v>
      </c>
      <c r="Q95" s="3" t="s">
        <v>106</v>
      </c>
    </row>
    <row r="96" spans="1:17" x14ac:dyDescent="0.25">
      <c r="A96" s="4">
        <v>45950</v>
      </c>
      <c r="B96" s="6">
        <v>1100</v>
      </c>
      <c r="C96" s="6">
        <v>1100</v>
      </c>
      <c r="D96" s="3">
        <v>1</v>
      </c>
      <c r="E96" s="4">
        <v>45950</v>
      </c>
      <c r="F96" s="6">
        <v>0</v>
      </c>
      <c r="G96" s="3" t="s">
        <v>461</v>
      </c>
      <c r="H96" s="3" t="s">
        <v>462</v>
      </c>
      <c r="I96" s="3" t="s">
        <v>109</v>
      </c>
      <c r="J96" s="3" t="s">
        <v>96</v>
      </c>
      <c r="K96" s="4">
        <v>46315</v>
      </c>
      <c r="L96" s="3"/>
      <c r="M96" s="3" t="s">
        <v>463</v>
      </c>
      <c r="N96" s="3">
        <v>27</v>
      </c>
      <c r="O96" s="4">
        <v>45957</v>
      </c>
      <c r="P96" s="4">
        <v>46011</v>
      </c>
      <c r="Q96" s="3" t="s">
        <v>187</v>
      </c>
    </row>
    <row r="97" spans="1:17" x14ac:dyDescent="0.25">
      <c r="A97" s="4">
        <v>45950</v>
      </c>
      <c r="B97" s="5">
        <v>1385.02</v>
      </c>
      <c r="C97" s="5">
        <f>SUM(B97*10%)</f>
        <v>138.50200000000001</v>
      </c>
      <c r="D97" s="3">
        <v>20</v>
      </c>
      <c r="E97" s="4">
        <v>45944</v>
      </c>
      <c r="F97" s="6">
        <v>0</v>
      </c>
      <c r="G97" s="3" t="s">
        <v>379</v>
      </c>
      <c r="H97" s="3" t="s">
        <v>380</v>
      </c>
      <c r="I97" s="3" t="s">
        <v>133</v>
      </c>
      <c r="J97" s="3" t="s">
        <v>96</v>
      </c>
      <c r="K97" s="4">
        <v>46078</v>
      </c>
      <c r="L97" s="3"/>
      <c r="M97" s="3" t="s">
        <v>20</v>
      </c>
      <c r="N97" s="3">
        <v>27</v>
      </c>
      <c r="O97" s="4">
        <v>45957</v>
      </c>
      <c r="P97" s="4">
        <v>46011</v>
      </c>
      <c r="Q97" s="3" t="s">
        <v>106</v>
      </c>
    </row>
    <row r="98" spans="1:17" x14ac:dyDescent="0.25">
      <c r="A98" s="4">
        <v>45950</v>
      </c>
      <c r="B98" s="5">
        <v>865.66</v>
      </c>
      <c r="C98" s="5">
        <f>SUM(B98*10%)</f>
        <v>86.566000000000003</v>
      </c>
      <c r="D98" s="3">
        <v>6</v>
      </c>
      <c r="E98" s="4">
        <v>45950</v>
      </c>
      <c r="F98" s="6">
        <v>0</v>
      </c>
      <c r="G98" s="3" t="s">
        <v>381</v>
      </c>
      <c r="H98" s="3" t="s">
        <v>382</v>
      </c>
      <c r="I98" s="3" t="s">
        <v>109</v>
      </c>
      <c r="J98" s="3"/>
      <c r="K98" s="4"/>
      <c r="L98" s="3"/>
      <c r="M98" s="3" t="s">
        <v>230</v>
      </c>
      <c r="N98" s="3">
        <v>27</v>
      </c>
      <c r="O98" s="4">
        <v>45957</v>
      </c>
      <c r="P98" s="4">
        <v>46011</v>
      </c>
      <c r="Q98" s="3" t="s">
        <v>106</v>
      </c>
    </row>
    <row r="99" spans="1:17" x14ac:dyDescent="0.25">
      <c r="A99" s="4">
        <v>45950</v>
      </c>
      <c r="B99" s="5">
        <v>1300</v>
      </c>
      <c r="C99" s="5">
        <f>SUM(B99*10%)</f>
        <v>130</v>
      </c>
      <c r="D99" s="3">
        <v>3</v>
      </c>
      <c r="E99" s="4">
        <v>45950</v>
      </c>
      <c r="F99" s="6">
        <v>0</v>
      </c>
      <c r="G99" s="3" t="s">
        <v>383</v>
      </c>
      <c r="H99" s="3" t="s">
        <v>384</v>
      </c>
      <c r="I99" s="3" t="s">
        <v>133</v>
      </c>
      <c r="J99" s="3" t="s">
        <v>96</v>
      </c>
      <c r="K99" s="4">
        <v>46254</v>
      </c>
      <c r="L99" s="3"/>
      <c r="M99" s="3" t="s">
        <v>23</v>
      </c>
      <c r="N99" s="3">
        <v>27</v>
      </c>
      <c r="O99" s="4">
        <v>45957</v>
      </c>
      <c r="P99" s="4">
        <v>46011</v>
      </c>
      <c r="Q99" s="3" t="s">
        <v>106</v>
      </c>
    </row>
    <row r="100" spans="1:17" x14ac:dyDescent="0.25">
      <c r="A100" s="4">
        <v>45950</v>
      </c>
      <c r="B100" s="5">
        <v>1500</v>
      </c>
      <c r="C100" s="5">
        <f>SUM(B100*10%)</f>
        <v>150</v>
      </c>
      <c r="D100" s="3">
        <v>9</v>
      </c>
      <c r="E100" s="4">
        <v>45947</v>
      </c>
      <c r="F100" s="6">
        <v>0</v>
      </c>
      <c r="G100" s="3" t="s">
        <v>385</v>
      </c>
      <c r="H100" s="3" t="s">
        <v>386</v>
      </c>
      <c r="I100" s="3" t="s">
        <v>109</v>
      </c>
      <c r="J100" s="3" t="s">
        <v>105</v>
      </c>
      <c r="K100" s="4">
        <v>46078</v>
      </c>
      <c r="L100" s="3"/>
      <c r="M100" s="3" t="s">
        <v>20</v>
      </c>
      <c r="N100" s="3">
        <v>27</v>
      </c>
      <c r="O100" s="4">
        <v>45957</v>
      </c>
      <c r="P100" s="4">
        <v>46011</v>
      </c>
      <c r="Q100" s="3" t="s">
        <v>106</v>
      </c>
    </row>
    <row r="101" spans="1:17" x14ac:dyDescent="0.25">
      <c r="A101" s="10" t="s">
        <v>484</v>
      </c>
      <c r="B101" s="12">
        <v>1700</v>
      </c>
      <c r="C101" s="12">
        <v>1700</v>
      </c>
      <c r="D101" s="11">
        <v>1</v>
      </c>
      <c r="E101" s="10"/>
      <c r="F101" s="13"/>
      <c r="G101" s="11" t="s">
        <v>476</v>
      </c>
      <c r="H101" s="11" t="s">
        <v>477</v>
      </c>
      <c r="I101" s="11" t="s">
        <v>479</v>
      </c>
      <c r="J101" s="11" t="s">
        <v>163</v>
      </c>
      <c r="K101" s="10"/>
      <c r="L101" s="11"/>
      <c r="M101" s="11" t="s">
        <v>478</v>
      </c>
      <c r="N101" s="11">
        <v>27</v>
      </c>
      <c r="O101" s="10"/>
      <c r="P101" s="10">
        <v>46011</v>
      </c>
      <c r="Q101" s="11" t="s">
        <v>106</v>
      </c>
    </row>
    <row r="102" spans="1:17" x14ac:dyDescent="0.25">
      <c r="A102" s="4">
        <v>45950</v>
      </c>
      <c r="B102" s="5">
        <v>2000</v>
      </c>
      <c r="C102" s="5">
        <v>2000</v>
      </c>
      <c r="D102" s="3">
        <v>1</v>
      </c>
      <c r="E102" s="4">
        <v>45950</v>
      </c>
      <c r="F102" s="6">
        <v>0</v>
      </c>
      <c r="G102" s="3" t="s">
        <v>387</v>
      </c>
      <c r="H102" s="3" t="s">
        <v>388</v>
      </c>
      <c r="I102" s="3" t="s">
        <v>133</v>
      </c>
      <c r="J102" s="3" t="s">
        <v>128</v>
      </c>
      <c r="K102" s="4">
        <v>46264</v>
      </c>
      <c r="L102" s="3">
        <v>108369</v>
      </c>
      <c r="M102" s="3" t="s">
        <v>389</v>
      </c>
      <c r="N102" s="3">
        <v>27</v>
      </c>
      <c r="O102" s="4">
        <v>45957</v>
      </c>
      <c r="P102" s="4">
        <v>46011</v>
      </c>
      <c r="Q102" s="3" t="s">
        <v>106</v>
      </c>
    </row>
    <row r="103" spans="1:17" x14ac:dyDescent="0.25">
      <c r="A103" s="4">
        <v>45950</v>
      </c>
      <c r="B103" s="5">
        <v>1900</v>
      </c>
      <c r="C103" s="5">
        <f>SUM(B103*10%)</f>
        <v>190</v>
      </c>
      <c r="D103" s="3">
        <v>13</v>
      </c>
      <c r="E103" s="4">
        <v>45958</v>
      </c>
      <c r="F103" s="6">
        <v>0</v>
      </c>
      <c r="G103" s="3" t="s">
        <v>390</v>
      </c>
      <c r="H103" s="3" t="s">
        <v>391</v>
      </c>
      <c r="I103" s="3" t="s">
        <v>109</v>
      </c>
      <c r="J103" s="3" t="s">
        <v>96</v>
      </c>
      <c r="K103" s="4">
        <v>46287</v>
      </c>
      <c r="L103" s="3"/>
      <c r="M103" s="3" t="s">
        <v>392</v>
      </c>
      <c r="N103" s="3">
        <v>27</v>
      </c>
      <c r="O103" s="4">
        <v>45959</v>
      </c>
      <c r="P103" s="4">
        <v>46011</v>
      </c>
      <c r="Q103" s="3"/>
    </row>
    <row r="104" spans="1:17" x14ac:dyDescent="0.25">
      <c r="A104" s="4">
        <v>45950</v>
      </c>
      <c r="B104" s="5">
        <v>1650</v>
      </c>
      <c r="C104" s="5">
        <v>100</v>
      </c>
      <c r="D104" s="3">
        <v>8</v>
      </c>
      <c r="E104" s="19">
        <v>45950</v>
      </c>
      <c r="F104" s="6">
        <v>0</v>
      </c>
      <c r="G104" s="3" t="s">
        <v>396</v>
      </c>
      <c r="H104" s="3" t="s">
        <v>397</v>
      </c>
      <c r="I104" s="3" t="s">
        <v>147</v>
      </c>
      <c r="J104" s="3" t="s">
        <v>96</v>
      </c>
      <c r="K104" s="4">
        <v>46189</v>
      </c>
      <c r="L104" s="3"/>
      <c r="M104" s="3" t="s">
        <v>298</v>
      </c>
      <c r="N104" s="3">
        <v>27</v>
      </c>
      <c r="O104" s="4">
        <v>45957</v>
      </c>
      <c r="P104" s="4">
        <v>46011</v>
      </c>
      <c r="Q104" s="3" t="s">
        <v>106</v>
      </c>
    </row>
    <row r="105" spans="1:17" x14ac:dyDescent="0.25">
      <c r="A105" s="4">
        <v>45950</v>
      </c>
      <c r="B105" s="5">
        <v>1300</v>
      </c>
      <c r="C105" s="5">
        <f>SUM(B105*10%)</f>
        <v>130</v>
      </c>
      <c r="D105" s="3">
        <v>9</v>
      </c>
      <c r="E105" s="4">
        <v>45950</v>
      </c>
      <c r="F105" s="6">
        <v>0</v>
      </c>
      <c r="G105" s="3" t="s">
        <v>398</v>
      </c>
      <c r="H105" s="3" t="s">
        <v>399</v>
      </c>
      <c r="I105" s="3" t="s">
        <v>109</v>
      </c>
      <c r="J105" s="3"/>
      <c r="K105" s="4"/>
      <c r="L105" s="3"/>
      <c r="M105" s="3" t="s">
        <v>240</v>
      </c>
      <c r="N105" s="3">
        <v>27</v>
      </c>
      <c r="O105" s="4">
        <v>45957</v>
      </c>
      <c r="P105" s="4">
        <v>45981</v>
      </c>
      <c r="Q105" s="3" t="s">
        <v>106</v>
      </c>
    </row>
    <row r="106" spans="1:17" x14ac:dyDescent="0.25">
      <c r="A106" s="4">
        <v>45950</v>
      </c>
      <c r="B106" s="5">
        <v>1628.85</v>
      </c>
      <c r="C106" s="5">
        <f>SUM(B106*10%)</f>
        <v>162.88499999999999</v>
      </c>
      <c r="D106" s="3">
        <v>17</v>
      </c>
      <c r="E106" s="4">
        <v>45950</v>
      </c>
      <c r="F106" s="6">
        <v>0</v>
      </c>
      <c r="G106" s="3" t="s">
        <v>400</v>
      </c>
      <c r="H106" s="3" t="s">
        <v>401</v>
      </c>
      <c r="I106" s="3"/>
      <c r="J106" s="3"/>
      <c r="K106" s="4"/>
      <c r="L106" s="3"/>
      <c r="M106" s="3" t="s">
        <v>402</v>
      </c>
      <c r="N106" s="3">
        <v>27</v>
      </c>
      <c r="O106" s="4">
        <v>45957</v>
      </c>
      <c r="P106" s="4">
        <v>46011</v>
      </c>
      <c r="Q106" s="3" t="s">
        <v>106</v>
      </c>
    </row>
    <row r="107" spans="1:17" x14ac:dyDescent="0.25">
      <c r="A107" s="4">
        <v>45950</v>
      </c>
      <c r="B107" s="5">
        <v>596.86</v>
      </c>
      <c r="C107" s="5">
        <f>SUM(B107*10%)</f>
        <v>59.686000000000007</v>
      </c>
      <c r="D107" s="3">
        <v>17</v>
      </c>
      <c r="E107" s="4">
        <v>45950</v>
      </c>
      <c r="F107" s="6">
        <v>0</v>
      </c>
      <c r="G107" s="3" t="s">
        <v>403</v>
      </c>
      <c r="H107" s="3" t="s">
        <v>404</v>
      </c>
      <c r="I107" s="3"/>
      <c r="J107" s="3" t="s">
        <v>96</v>
      </c>
      <c r="K107" s="4">
        <v>45910</v>
      </c>
      <c r="L107" s="3"/>
      <c r="M107" s="3" t="s">
        <v>18</v>
      </c>
      <c r="N107" s="3">
        <v>27</v>
      </c>
      <c r="O107" s="4">
        <v>45957</v>
      </c>
      <c r="P107" s="4">
        <v>46011</v>
      </c>
      <c r="Q107" s="3"/>
    </row>
    <row r="108" spans="1:17" x14ac:dyDescent="0.25">
      <c r="A108" s="4">
        <v>45950</v>
      </c>
      <c r="B108" s="5">
        <v>923.02</v>
      </c>
      <c r="C108" s="5">
        <f>SUM(B108*10%)</f>
        <v>92.302000000000007</v>
      </c>
      <c r="D108" s="3">
        <v>17</v>
      </c>
      <c r="E108" s="4">
        <v>45953</v>
      </c>
      <c r="F108" s="6">
        <v>92.96</v>
      </c>
      <c r="G108" s="3" t="s">
        <v>405</v>
      </c>
      <c r="H108" s="3" t="s">
        <v>406</v>
      </c>
      <c r="I108" s="3"/>
      <c r="J108" s="3"/>
      <c r="K108" s="4"/>
      <c r="L108" s="3"/>
      <c r="M108" s="3" t="s">
        <v>407</v>
      </c>
      <c r="N108" s="3">
        <v>27</v>
      </c>
      <c r="O108" s="4">
        <v>45957</v>
      </c>
      <c r="P108" s="4">
        <v>46011</v>
      </c>
      <c r="Q108" s="3" t="s">
        <v>106</v>
      </c>
    </row>
    <row r="109" spans="1:17" x14ac:dyDescent="0.25">
      <c r="A109" s="4">
        <v>45950</v>
      </c>
      <c r="B109" s="5">
        <v>700</v>
      </c>
      <c r="C109" s="5">
        <v>0</v>
      </c>
      <c r="D109" s="3">
        <v>4</v>
      </c>
      <c r="E109" s="4">
        <v>45950</v>
      </c>
      <c r="F109" s="6">
        <v>0</v>
      </c>
      <c r="G109" s="3" t="s">
        <v>408</v>
      </c>
      <c r="H109" s="3" t="s">
        <v>409</v>
      </c>
      <c r="I109" s="3"/>
      <c r="J109" s="3"/>
      <c r="K109" s="4"/>
      <c r="L109" s="3"/>
      <c r="M109" s="3" t="s">
        <v>246</v>
      </c>
      <c r="N109" s="3">
        <v>27</v>
      </c>
      <c r="O109" s="4">
        <v>45957</v>
      </c>
      <c r="P109" s="4">
        <v>46011</v>
      </c>
      <c r="Q109" s="3" t="s">
        <v>187</v>
      </c>
    </row>
    <row r="110" spans="1:17" x14ac:dyDescent="0.25">
      <c r="A110" s="4">
        <v>45950</v>
      </c>
      <c r="B110" s="5">
        <v>2977.24</v>
      </c>
      <c r="C110" s="5">
        <v>290</v>
      </c>
      <c r="D110" s="3">
        <v>21</v>
      </c>
      <c r="E110" s="4">
        <v>45950</v>
      </c>
      <c r="F110" s="6">
        <v>0</v>
      </c>
      <c r="G110" s="3" t="s">
        <v>410</v>
      </c>
      <c r="H110" s="3" t="s">
        <v>411</v>
      </c>
      <c r="I110" s="3"/>
      <c r="J110" s="3"/>
      <c r="K110" s="4"/>
      <c r="L110" s="3"/>
      <c r="M110" s="3" t="s">
        <v>412</v>
      </c>
      <c r="N110" s="3">
        <v>27</v>
      </c>
      <c r="O110" s="4">
        <v>45957</v>
      </c>
      <c r="P110" s="4">
        <v>46011</v>
      </c>
      <c r="Q110" s="3"/>
    </row>
    <row r="111" spans="1:17" x14ac:dyDescent="0.25">
      <c r="A111" s="4">
        <v>45950</v>
      </c>
      <c r="B111" s="5">
        <v>2000</v>
      </c>
      <c r="C111" s="5">
        <f>SUM(B111*10%)</f>
        <v>200</v>
      </c>
      <c r="D111" s="3">
        <v>7</v>
      </c>
      <c r="E111" s="4">
        <v>45943</v>
      </c>
      <c r="F111" s="6">
        <v>0</v>
      </c>
      <c r="G111" s="3" t="s">
        <v>413</v>
      </c>
      <c r="H111" s="3" t="s">
        <v>414</v>
      </c>
      <c r="I111" s="3"/>
      <c r="J111" s="3" t="s">
        <v>128</v>
      </c>
      <c r="K111" s="4">
        <v>46147</v>
      </c>
      <c r="L111" s="3"/>
      <c r="M111" s="3" t="s">
        <v>204</v>
      </c>
      <c r="N111" s="3">
        <v>27</v>
      </c>
      <c r="O111" s="4">
        <v>45957</v>
      </c>
      <c r="P111" s="4">
        <v>46011</v>
      </c>
      <c r="Q111" s="3" t="s">
        <v>106</v>
      </c>
    </row>
    <row r="112" spans="1:17" x14ac:dyDescent="0.25">
      <c r="A112" s="4">
        <v>45950</v>
      </c>
      <c r="B112" s="5">
        <v>1177.33</v>
      </c>
      <c r="C112" s="5">
        <f>SUM(B112*10%)</f>
        <v>117.733</v>
      </c>
      <c r="D112" s="3">
        <v>15</v>
      </c>
      <c r="E112" s="4">
        <v>45950</v>
      </c>
      <c r="F112" s="6">
        <v>0</v>
      </c>
      <c r="G112" s="3" t="s">
        <v>416</v>
      </c>
      <c r="H112" s="3" t="s">
        <v>417</v>
      </c>
      <c r="I112" s="3"/>
      <c r="J112" s="3" t="s">
        <v>105</v>
      </c>
      <c r="K112" s="4">
        <v>45828</v>
      </c>
      <c r="L112" s="3"/>
      <c r="M112" s="3" t="s">
        <v>418</v>
      </c>
      <c r="N112" s="3">
        <v>27</v>
      </c>
      <c r="O112" s="4">
        <v>45957</v>
      </c>
      <c r="P112" s="4">
        <v>46011</v>
      </c>
      <c r="Q112" s="3" t="s">
        <v>106</v>
      </c>
    </row>
    <row r="113" spans="1:17" x14ac:dyDescent="0.25">
      <c r="A113" s="4">
        <v>45950</v>
      </c>
      <c r="B113" s="5">
        <v>1400</v>
      </c>
      <c r="C113" s="5">
        <f>SUM(B113*10%)</f>
        <v>140</v>
      </c>
      <c r="D113" s="3">
        <v>8</v>
      </c>
      <c r="E113" s="4">
        <v>45939</v>
      </c>
      <c r="F113" s="6">
        <v>0</v>
      </c>
      <c r="G113" s="3" t="s">
        <v>419</v>
      </c>
      <c r="H113" s="3" t="s">
        <v>420</v>
      </c>
      <c r="I113" s="3"/>
      <c r="J113" s="3" t="s">
        <v>105</v>
      </c>
      <c r="K113" s="4">
        <v>46078</v>
      </c>
      <c r="L113" s="3"/>
      <c r="M113" s="3" t="s">
        <v>421</v>
      </c>
      <c r="N113" s="3">
        <v>27</v>
      </c>
      <c r="O113" s="4">
        <v>45957</v>
      </c>
      <c r="P113" s="4">
        <v>46011</v>
      </c>
      <c r="Q113" s="3" t="s">
        <v>106</v>
      </c>
    </row>
    <row r="114" spans="1:17" x14ac:dyDescent="0.25">
      <c r="A114" s="4">
        <v>45950</v>
      </c>
      <c r="B114" s="5">
        <v>1085.2</v>
      </c>
      <c r="C114" s="5">
        <f>SUM(B114*10%)</f>
        <v>108.52000000000001</v>
      </c>
      <c r="D114" s="3">
        <v>40</v>
      </c>
      <c r="E114" s="4">
        <v>45950</v>
      </c>
      <c r="F114" s="6">
        <v>0</v>
      </c>
      <c r="G114" s="3" t="s">
        <v>422</v>
      </c>
      <c r="H114" s="3" t="s">
        <v>423</v>
      </c>
      <c r="I114" s="3"/>
      <c r="J114" s="3"/>
      <c r="K114" s="4"/>
      <c r="L114" s="3"/>
      <c r="M114" s="3" t="s">
        <v>424</v>
      </c>
      <c r="N114" s="3">
        <v>27</v>
      </c>
      <c r="O114" s="4">
        <v>45957</v>
      </c>
      <c r="P114" s="4">
        <v>46011</v>
      </c>
      <c r="Q114" s="3" t="s">
        <v>106</v>
      </c>
    </row>
    <row r="115" spans="1:17" x14ac:dyDescent="0.25">
      <c r="A115" s="4">
        <v>45950</v>
      </c>
      <c r="B115" s="5">
        <v>1150</v>
      </c>
      <c r="C115" s="5">
        <f>SUM(B115*10%)</f>
        <v>115</v>
      </c>
      <c r="D115" s="3">
        <v>3</v>
      </c>
      <c r="E115" s="4">
        <v>45951</v>
      </c>
      <c r="F115" s="6">
        <v>118.07</v>
      </c>
      <c r="G115" s="3" t="s">
        <v>425</v>
      </c>
      <c r="H115" s="3" t="s">
        <v>426</v>
      </c>
      <c r="I115" s="3" t="s">
        <v>133</v>
      </c>
      <c r="J115" s="3" t="s">
        <v>96</v>
      </c>
      <c r="K115" s="4">
        <v>46211</v>
      </c>
      <c r="L115" s="3"/>
      <c r="M115" s="3" t="s">
        <v>427</v>
      </c>
      <c r="N115" s="3">
        <v>27</v>
      </c>
      <c r="O115" s="4">
        <v>45958</v>
      </c>
      <c r="P115" s="4">
        <v>45950</v>
      </c>
      <c r="Q115" s="3" t="s">
        <v>187</v>
      </c>
    </row>
    <row r="116" spans="1:17" x14ac:dyDescent="0.25">
      <c r="A116" s="19"/>
      <c r="B116" s="28"/>
      <c r="C116" s="28"/>
      <c r="D116" s="20"/>
      <c r="E116" s="19"/>
      <c r="F116" s="18"/>
      <c r="G116" s="20"/>
      <c r="H116" s="20"/>
      <c r="I116" s="20"/>
      <c r="J116" s="20"/>
      <c r="K116" s="19"/>
      <c r="L116" s="20"/>
      <c r="M116" s="20"/>
      <c r="N116" s="20"/>
      <c r="O116" s="19"/>
      <c r="P116" s="19"/>
      <c r="Q116" s="20"/>
    </row>
    <row r="117" spans="1:17" x14ac:dyDescent="0.25">
      <c r="A117" s="4">
        <v>45955</v>
      </c>
      <c r="B117" s="5">
        <v>1900.44</v>
      </c>
      <c r="C117" s="5">
        <f>SUM(B117*10%)</f>
        <v>190.04400000000001</v>
      </c>
      <c r="D117" s="3">
        <v>22</v>
      </c>
      <c r="E117" s="4">
        <v>45951</v>
      </c>
      <c r="F117" s="6">
        <v>0</v>
      </c>
      <c r="G117" s="3" t="s">
        <v>428</v>
      </c>
      <c r="H117" s="3" t="s">
        <v>429</v>
      </c>
      <c r="I117" s="3"/>
      <c r="J117" s="3" t="s">
        <v>128</v>
      </c>
      <c r="K117" s="4">
        <v>45979</v>
      </c>
      <c r="L117" s="3"/>
      <c r="M117" s="3" t="s">
        <v>430</v>
      </c>
      <c r="N117" s="3">
        <v>2</v>
      </c>
      <c r="O117" s="3" t="s">
        <v>444</v>
      </c>
      <c r="P117" s="4">
        <v>45981</v>
      </c>
      <c r="Q117" s="3" t="s">
        <v>106</v>
      </c>
    </row>
    <row r="118" spans="1:17" x14ac:dyDescent="0.25">
      <c r="A118" s="4">
        <v>45955</v>
      </c>
      <c r="B118" s="5">
        <v>1499.55</v>
      </c>
      <c r="C118" s="5">
        <f>SUM(B118*10%)</f>
        <v>149.95500000000001</v>
      </c>
      <c r="D118" s="3">
        <v>184</v>
      </c>
      <c r="E118" s="19">
        <v>45957</v>
      </c>
      <c r="F118" s="6">
        <v>0</v>
      </c>
      <c r="G118" s="3" t="s">
        <v>431</v>
      </c>
      <c r="H118" s="3" t="s">
        <v>432</v>
      </c>
      <c r="I118" s="3"/>
      <c r="J118" s="3" t="s">
        <v>216</v>
      </c>
      <c r="K118" s="4">
        <v>45881</v>
      </c>
      <c r="L118" s="3"/>
      <c r="M118" s="3" t="s">
        <v>110</v>
      </c>
      <c r="N118" s="3">
        <v>27</v>
      </c>
      <c r="O118" s="4" t="s">
        <v>468</v>
      </c>
      <c r="P118" s="4">
        <v>46016</v>
      </c>
      <c r="Q118" s="3"/>
    </row>
    <row r="119" spans="1:17" x14ac:dyDescent="0.25">
      <c r="A119" s="4">
        <v>45955</v>
      </c>
      <c r="B119" s="5">
        <v>1605.45</v>
      </c>
      <c r="C119" s="5">
        <f>SUM(B119*10%)</f>
        <v>160.54500000000002</v>
      </c>
      <c r="D119" s="3">
        <v>32</v>
      </c>
      <c r="E119" s="4">
        <v>45957</v>
      </c>
      <c r="F119" s="6">
        <v>0</v>
      </c>
      <c r="G119" s="3" t="s">
        <v>433</v>
      </c>
      <c r="H119" s="3" t="s">
        <v>434</v>
      </c>
      <c r="I119" s="3"/>
      <c r="J119" s="3"/>
      <c r="K119" s="4"/>
      <c r="L119" s="3"/>
      <c r="M119" s="3" t="s">
        <v>469</v>
      </c>
      <c r="N119" s="3">
        <v>27</v>
      </c>
      <c r="O119" s="4" t="s">
        <v>468</v>
      </c>
      <c r="P119" s="4">
        <v>46016</v>
      </c>
      <c r="Q119" s="3"/>
    </row>
    <row r="120" spans="1:17" x14ac:dyDescent="0.25">
      <c r="A120" s="4">
        <v>45955</v>
      </c>
      <c r="B120" s="5">
        <v>651.12</v>
      </c>
      <c r="C120" s="5">
        <f>SUM(B120*10%)</f>
        <v>65.112000000000009</v>
      </c>
      <c r="D120" s="3">
        <v>17</v>
      </c>
      <c r="E120" s="4">
        <v>45954</v>
      </c>
      <c r="F120" s="6">
        <v>0</v>
      </c>
      <c r="G120" s="3" t="s">
        <v>435</v>
      </c>
      <c r="H120" s="3" t="s">
        <v>436</v>
      </c>
      <c r="I120" s="3"/>
      <c r="J120" s="3"/>
      <c r="K120" s="4"/>
      <c r="L120" s="3"/>
      <c r="M120" s="3" t="s">
        <v>276</v>
      </c>
      <c r="N120" s="3">
        <v>17</v>
      </c>
      <c r="O120" s="4" t="s">
        <v>452</v>
      </c>
      <c r="P120" s="4">
        <v>46016</v>
      </c>
      <c r="Q120" s="3" t="s">
        <v>187</v>
      </c>
    </row>
    <row r="121" spans="1:17" x14ac:dyDescent="0.25">
      <c r="A121" s="19"/>
      <c r="B121" s="28"/>
      <c r="C121" s="28"/>
      <c r="D121" s="20"/>
      <c r="E121" s="19"/>
      <c r="F121" s="18"/>
      <c r="G121" s="20"/>
      <c r="H121" s="20"/>
      <c r="I121" s="20"/>
      <c r="J121" s="20"/>
      <c r="K121" s="19"/>
      <c r="L121" s="20"/>
      <c r="M121" s="20"/>
      <c r="N121" s="20"/>
      <c r="O121" s="19"/>
      <c r="P121" s="19"/>
      <c r="Q121" s="20"/>
    </row>
    <row r="122" spans="1:17" x14ac:dyDescent="0.25">
      <c r="A122" s="4">
        <v>45958</v>
      </c>
      <c r="B122" s="5">
        <v>1060.04</v>
      </c>
      <c r="C122" s="5">
        <f>SUM(B122*10%)</f>
        <v>106.004</v>
      </c>
      <c r="D122" s="3">
        <v>201</v>
      </c>
      <c r="E122" s="4">
        <v>45957</v>
      </c>
      <c r="F122" s="6">
        <v>0</v>
      </c>
      <c r="G122" s="3" t="s">
        <v>437</v>
      </c>
      <c r="H122" s="3" t="s">
        <v>438</v>
      </c>
      <c r="I122" s="3"/>
      <c r="J122" s="3"/>
      <c r="K122" s="4"/>
      <c r="L122" s="3"/>
      <c r="M122" s="3" t="s">
        <v>469</v>
      </c>
      <c r="N122" s="3">
        <v>27</v>
      </c>
      <c r="O122" s="4" t="s">
        <v>468</v>
      </c>
      <c r="P122" s="4">
        <v>46019</v>
      </c>
      <c r="Q122" s="3" t="s">
        <v>106</v>
      </c>
    </row>
    <row r="123" spans="1:17" x14ac:dyDescent="0.25">
      <c r="A123" s="19"/>
      <c r="B123" s="28"/>
      <c r="C123" s="28"/>
      <c r="D123" s="20"/>
      <c r="E123" s="19"/>
      <c r="F123" s="18"/>
      <c r="G123" s="20"/>
      <c r="H123" s="20"/>
      <c r="I123" s="20"/>
      <c r="J123" s="20"/>
      <c r="K123" s="19"/>
      <c r="L123" s="20"/>
      <c r="M123" s="20"/>
      <c r="N123" s="20"/>
      <c r="O123" s="19"/>
      <c r="P123" s="19"/>
      <c r="Q123" s="20"/>
    </row>
    <row r="124" spans="1:17" x14ac:dyDescent="0.25">
      <c r="A124" s="4" t="s">
        <v>449</v>
      </c>
      <c r="B124" s="6">
        <v>550</v>
      </c>
      <c r="C124" s="6">
        <f>SUM(B124*10%)</f>
        <v>55</v>
      </c>
      <c r="D124" s="3">
        <v>2</v>
      </c>
      <c r="E124" s="4">
        <v>45940</v>
      </c>
      <c r="F124" s="6">
        <v>0</v>
      </c>
      <c r="G124" s="3" t="s">
        <v>227</v>
      </c>
      <c r="H124" s="3" t="s">
        <v>228</v>
      </c>
      <c r="I124" s="3" t="s">
        <v>229</v>
      </c>
      <c r="J124" s="3" t="s">
        <v>216</v>
      </c>
      <c r="K124" s="4">
        <v>46276</v>
      </c>
      <c r="L124" s="3">
        <v>47911</v>
      </c>
      <c r="M124" s="3" t="s">
        <v>230</v>
      </c>
      <c r="N124" s="3">
        <v>27</v>
      </c>
      <c r="O124" s="4">
        <v>45957</v>
      </c>
      <c r="P124" s="4">
        <v>46001</v>
      </c>
      <c r="Q124" s="3" t="s">
        <v>106</v>
      </c>
    </row>
    <row r="125" spans="1:17" x14ac:dyDescent="0.25">
      <c r="A125" s="4" t="s">
        <v>449</v>
      </c>
      <c r="B125" s="6">
        <v>542.6</v>
      </c>
      <c r="C125" s="6">
        <f>SUM(B125*10%)</f>
        <v>54.260000000000005</v>
      </c>
      <c r="D125" s="3">
        <v>29</v>
      </c>
      <c r="E125" s="4">
        <v>45938</v>
      </c>
      <c r="F125" s="6">
        <v>0</v>
      </c>
      <c r="G125" s="3" t="s">
        <v>236</v>
      </c>
      <c r="H125" s="3" t="s">
        <v>237</v>
      </c>
      <c r="I125" s="3" t="s">
        <v>109</v>
      </c>
      <c r="J125" s="3" t="s">
        <v>216</v>
      </c>
      <c r="K125" s="4">
        <v>45791</v>
      </c>
      <c r="L125" s="3">
        <v>143717</v>
      </c>
      <c r="M125" s="3" t="s">
        <v>144</v>
      </c>
      <c r="N125" s="3">
        <v>27</v>
      </c>
      <c r="O125" s="4">
        <v>45957</v>
      </c>
      <c r="P125" s="4">
        <v>46001</v>
      </c>
      <c r="Q125" s="3" t="s">
        <v>106</v>
      </c>
    </row>
    <row r="126" spans="1:17" x14ac:dyDescent="0.25">
      <c r="A126" s="4" t="s">
        <v>449</v>
      </c>
      <c r="B126" s="6">
        <v>2500</v>
      </c>
      <c r="C126" s="6">
        <v>2500</v>
      </c>
      <c r="D126" s="3">
        <v>1</v>
      </c>
      <c r="E126" s="4">
        <v>45940</v>
      </c>
      <c r="F126" s="6">
        <v>0</v>
      </c>
      <c r="G126" s="3" t="s">
        <v>241</v>
      </c>
      <c r="H126" s="3" t="s">
        <v>242</v>
      </c>
      <c r="I126" s="3" t="s">
        <v>109</v>
      </c>
      <c r="J126" s="3"/>
      <c r="K126" s="4"/>
      <c r="L126" s="3">
        <v>129149</v>
      </c>
      <c r="M126" s="3" t="s">
        <v>243</v>
      </c>
      <c r="N126" s="3">
        <v>27</v>
      </c>
      <c r="O126" s="4">
        <v>45957</v>
      </c>
      <c r="P126" s="4">
        <v>45940</v>
      </c>
      <c r="Q126" s="3" t="s">
        <v>106</v>
      </c>
    </row>
    <row r="127" spans="1:17" x14ac:dyDescent="0.25">
      <c r="A127" s="4" t="s">
        <v>450</v>
      </c>
      <c r="B127" s="5">
        <v>1348.29</v>
      </c>
      <c r="C127" s="5">
        <f>SUM(B127*10%)</f>
        <v>134.82900000000001</v>
      </c>
      <c r="D127" s="3">
        <v>44</v>
      </c>
      <c r="E127" s="4">
        <v>45950</v>
      </c>
      <c r="F127" s="6">
        <v>0</v>
      </c>
      <c r="G127" s="3" t="s">
        <v>393</v>
      </c>
      <c r="H127" s="3" t="s">
        <v>394</v>
      </c>
      <c r="I127" s="3" t="s">
        <v>109</v>
      </c>
      <c r="J127" s="3"/>
      <c r="K127" s="4"/>
      <c r="L127" s="3"/>
      <c r="M127" s="3" t="s">
        <v>395</v>
      </c>
      <c r="N127" s="3">
        <v>27</v>
      </c>
      <c r="O127" s="4">
        <v>45957</v>
      </c>
      <c r="P127" s="4">
        <v>46011</v>
      </c>
      <c r="Q127" s="3" t="s">
        <v>106</v>
      </c>
    </row>
    <row r="128" spans="1:17" x14ac:dyDescent="0.25">
      <c r="A128" s="36" t="s">
        <v>489</v>
      </c>
      <c r="B128" s="24"/>
      <c r="C128" s="24"/>
      <c r="D128" s="24"/>
      <c r="E128" s="24"/>
      <c r="F128" s="43" t="s">
        <v>490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 spans="1:17" x14ac:dyDescent="0.25">
      <c r="A129" s="20" t="s">
        <v>81</v>
      </c>
      <c r="B129" s="18">
        <f>SUM(B2:B127)</f>
        <v>199887.40999999995</v>
      </c>
      <c r="C129" s="18">
        <f>SUM(C2:C127)</f>
        <v>30182.724500000004</v>
      </c>
      <c r="D129" s="20"/>
      <c r="E129" s="20"/>
      <c r="F129" s="18">
        <f>SUM(F2:F127)</f>
        <v>1230.27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1:17" x14ac:dyDescent="0.25">
      <c r="A130" s="21" t="s">
        <v>439</v>
      </c>
      <c r="B130" s="22">
        <v>-2328.1799999999998</v>
      </c>
      <c r="C130" s="22">
        <v>-232.81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 spans="1:17" x14ac:dyDescent="0.25">
      <c r="A131" s="25" t="s">
        <v>440</v>
      </c>
      <c r="B131" s="26">
        <f>SUM(B129:B130)</f>
        <v>197559.22999999995</v>
      </c>
      <c r="C131" s="26">
        <f>SUM(C129:C130)</f>
        <v>29949.914500000003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 spans="1:17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 spans="1:17" x14ac:dyDescent="0.25">
      <c r="A133" s="38" t="s">
        <v>491</v>
      </c>
      <c r="B133" s="39">
        <f>SUM(C131,F129)</f>
        <v>31180.184500000003</v>
      </c>
    </row>
    <row r="136" spans="1:17" x14ac:dyDescent="0.25">
      <c r="A136" s="40" t="s">
        <v>492</v>
      </c>
      <c r="B136" s="41"/>
    </row>
    <row r="137" spans="1:17" x14ac:dyDescent="0.25">
      <c r="A137" s="40" t="s">
        <v>497</v>
      </c>
      <c r="B137" s="42">
        <v>25885.29</v>
      </c>
      <c r="C137" s="37"/>
    </row>
    <row r="138" spans="1:17" x14ac:dyDescent="0.25">
      <c r="A138" s="40" t="s">
        <v>493</v>
      </c>
      <c r="B138" s="42">
        <v>664.45</v>
      </c>
    </row>
    <row r="139" spans="1:17" x14ac:dyDescent="0.25">
      <c r="A139" s="40" t="s">
        <v>495</v>
      </c>
      <c r="B139" s="42">
        <v>1372.23</v>
      </c>
    </row>
    <row r="140" spans="1:17" x14ac:dyDescent="0.25">
      <c r="A140" s="40" t="s">
        <v>496</v>
      </c>
      <c r="B140" s="42">
        <v>1680.14</v>
      </c>
    </row>
    <row r="141" spans="1:17" x14ac:dyDescent="0.25">
      <c r="A141" s="40"/>
      <c r="B141" s="42"/>
    </row>
    <row r="142" spans="1:17" x14ac:dyDescent="0.25">
      <c r="A142" s="40" t="s">
        <v>81</v>
      </c>
      <c r="B142" s="42">
        <f>SUM(B137:B140)</f>
        <v>29602.11</v>
      </c>
    </row>
    <row r="143" spans="1:17" x14ac:dyDescent="0.25">
      <c r="A143" s="40"/>
      <c r="B143" s="41"/>
    </row>
    <row r="144" spans="1:17" x14ac:dyDescent="0.25">
      <c r="A144" s="40"/>
      <c r="B144" s="41"/>
    </row>
    <row r="145" spans="1:2" x14ac:dyDescent="0.25">
      <c r="A145" s="40"/>
      <c r="B145" s="41"/>
    </row>
    <row r="146" spans="1:2" x14ac:dyDescent="0.25">
      <c r="A146" s="40"/>
      <c r="B146" s="41"/>
    </row>
    <row r="147" spans="1:2" x14ac:dyDescent="0.25">
      <c r="A147" s="40"/>
      <c r="B147" s="41"/>
    </row>
    <row r="148" spans="1:2" x14ac:dyDescent="0.25">
      <c r="A148" s="40"/>
      <c r="B148" s="41"/>
    </row>
    <row r="149" spans="1:2" x14ac:dyDescent="0.25">
      <c r="A149" s="40"/>
      <c r="B149" s="41"/>
    </row>
    <row r="150" spans="1:2" x14ac:dyDescent="0.25">
      <c r="A150" s="40"/>
      <c r="B150" s="41"/>
    </row>
    <row r="151" spans="1:2" x14ac:dyDescent="0.25">
      <c r="A151" s="41"/>
      <c r="B151" s="41"/>
    </row>
  </sheetData>
  <autoFilter ref="A1:Q1" xr:uid="{92B55D7C-50B6-4F58-BD34-F5192D1EA3B6}">
    <sortState xmlns:xlrd2="http://schemas.microsoft.com/office/spreadsheetml/2017/richdata2" ref="A2:Q117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21B3-F866-4FD4-BA9E-997BD8ACA609}">
  <dimension ref="A1:Q10"/>
  <sheetViews>
    <sheetView workbookViewId="0">
      <selection activeCell="F9" sqref="F4:F9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8.85546875" bestFit="1" customWidth="1"/>
    <col min="4" max="4" width="6.42578125" bestFit="1" customWidth="1"/>
    <col min="5" max="5" width="9" bestFit="1" customWidth="1"/>
    <col min="6" max="6" width="8.5703125" bestFit="1" customWidth="1"/>
    <col min="7" max="7" width="23.7109375" bestFit="1" customWidth="1"/>
    <col min="8" max="8" width="25.7109375" bestFit="1" customWidth="1"/>
    <col min="9" max="9" width="8.42578125" bestFit="1" customWidth="1"/>
    <col min="10" max="10" width="10.85546875" bestFit="1" customWidth="1"/>
    <col min="11" max="11" width="11.7109375" bestFit="1" customWidth="1"/>
    <col min="12" max="12" width="10" bestFit="1" customWidth="1"/>
    <col min="13" max="13" width="21.7109375" bestFit="1" customWidth="1"/>
    <col min="14" max="14" width="9" bestFit="1" customWidth="1"/>
    <col min="15" max="15" width="14.42578125" bestFit="1" customWidth="1"/>
    <col min="16" max="16" width="10.85546875" bestFit="1" customWidth="1"/>
    <col min="17" max="17" width="10.5703125" bestFit="1" customWidth="1"/>
  </cols>
  <sheetData>
    <row r="1" spans="1:17" x14ac:dyDescent="0.25">
      <c r="A1" s="3" t="s">
        <v>39</v>
      </c>
      <c r="B1" s="3" t="s">
        <v>1</v>
      </c>
      <c r="C1" s="3" t="s">
        <v>83</v>
      </c>
      <c r="D1" s="3" t="s">
        <v>84</v>
      </c>
      <c r="E1" s="3" t="s">
        <v>85</v>
      </c>
      <c r="F1" s="3" t="s">
        <v>8</v>
      </c>
      <c r="G1" s="3" t="s">
        <v>0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85</v>
      </c>
      <c r="O1" s="3" t="s">
        <v>10</v>
      </c>
      <c r="P1" s="3" t="s">
        <v>92</v>
      </c>
      <c r="Q1" s="3" t="s">
        <v>93</v>
      </c>
    </row>
    <row r="2" spans="1:17" x14ac:dyDescent="0.25">
      <c r="A2" s="14">
        <v>45767</v>
      </c>
      <c r="B2" s="15">
        <v>500</v>
      </c>
      <c r="C2" s="15">
        <f>SUM(B2*10%)</f>
        <v>50</v>
      </c>
      <c r="D2" s="16">
        <v>9</v>
      </c>
      <c r="E2" s="17"/>
      <c r="F2" s="17">
        <v>0</v>
      </c>
      <c r="G2" s="16" t="s">
        <v>94</v>
      </c>
      <c r="H2" s="16" t="s">
        <v>95</v>
      </c>
      <c r="I2" s="16" t="s">
        <v>475</v>
      </c>
      <c r="J2" s="16" t="s">
        <v>96</v>
      </c>
      <c r="K2" s="14">
        <v>45889</v>
      </c>
      <c r="L2" s="16"/>
      <c r="M2" s="16" t="s">
        <v>97</v>
      </c>
      <c r="N2" s="16">
        <v>17</v>
      </c>
      <c r="O2" s="14"/>
      <c r="P2" s="14">
        <v>45858</v>
      </c>
      <c r="Q2" s="16"/>
    </row>
    <row r="3" spans="1:17" x14ac:dyDescent="0.25">
      <c r="A3" s="4">
        <v>45848</v>
      </c>
      <c r="B3" s="6">
        <v>850</v>
      </c>
      <c r="C3" s="6">
        <f>SUM(B3*10%)</f>
        <v>85</v>
      </c>
      <c r="D3" s="3">
        <v>7</v>
      </c>
      <c r="E3" s="4"/>
      <c r="F3" s="6">
        <v>0</v>
      </c>
      <c r="G3" s="3" t="s">
        <v>103</v>
      </c>
      <c r="H3" s="3" t="s">
        <v>104</v>
      </c>
      <c r="I3" s="3" t="s">
        <v>147</v>
      </c>
      <c r="J3" s="3" t="s">
        <v>105</v>
      </c>
      <c r="K3" s="4">
        <v>46051</v>
      </c>
      <c r="L3" s="3">
        <v>156759</v>
      </c>
      <c r="M3" s="3" t="s">
        <v>23</v>
      </c>
      <c r="N3" s="3">
        <v>27</v>
      </c>
      <c r="O3" s="4"/>
      <c r="P3" s="4">
        <v>45848</v>
      </c>
      <c r="Q3" s="3" t="s">
        <v>106</v>
      </c>
    </row>
    <row r="4" spans="1:17" x14ac:dyDescent="0.25">
      <c r="A4" s="14">
        <v>45889</v>
      </c>
      <c r="B4" s="15">
        <v>797.48</v>
      </c>
      <c r="C4" s="15">
        <v>79.75</v>
      </c>
      <c r="D4" s="16"/>
      <c r="E4" s="14">
        <v>45954</v>
      </c>
      <c r="F4" s="27">
        <v>99.97</v>
      </c>
      <c r="G4" s="16" t="s">
        <v>98</v>
      </c>
      <c r="H4" s="16" t="s">
        <v>99</v>
      </c>
      <c r="I4" s="16" t="s">
        <v>474</v>
      </c>
      <c r="J4" s="16" t="s">
        <v>100</v>
      </c>
      <c r="K4" s="14">
        <v>46105</v>
      </c>
      <c r="L4" s="16"/>
      <c r="M4" s="16" t="s">
        <v>23</v>
      </c>
      <c r="N4" s="16">
        <v>27</v>
      </c>
      <c r="O4" s="14" t="s">
        <v>467</v>
      </c>
      <c r="P4" s="14">
        <v>46011</v>
      </c>
      <c r="Q4" s="16"/>
    </row>
    <row r="5" spans="1:17" x14ac:dyDescent="0.25">
      <c r="A5" s="4">
        <v>45920</v>
      </c>
      <c r="B5" s="5">
        <v>1278.48</v>
      </c>
      <c r="C5" s="5">
        <f>SUM(B5*10%)</f>
        <v>127.84800000000001</v>
      </c>
      <c r="D5" s="3">
        <v>31</v>
      </c>
      <c r="E5" s="4">
        <v>45937</v>
      </c>
      <c r="F5" s="18">
        <v>135.33000000000001</v>
      </c>
      <c r="G5" s="3" t="s">
        <v>118</v>
      </c>
      <c r="H5" s="3" t="s">
        <v>119</v>
      </c>
      <c r="I5" s="3" t="s">
        <v>120</v>
      </c>
      <c r="J5" s="3"/>
      <c r="K5" s="4"/>
      <c r="L5" s="3"/>
      <c r="M5" s="3" t="s">
        <v>121</v>
      </c>
      <c r="N5" s="3">
        <v>17</v>
      </c>
      <c r="O5" s="3" t="s">
        <v>445</v>
      </c>
      <c r="P5" s="4">
        <v>46011</v>
      </c>
      <c r="Q5" s="3"/>
    </row>
    <row r="6" spans="1:17" x14ac:dyDescent="0.25">
      <c r="A6" s="4">
        <v>45920</v>
      </c>
      <c r="B6" s="5">
        <v>1598.1</v>
      </c>
      <c r="C6" s="5">
        <f>SUM(B6*10%)</f>
        <v>159.81</v>
      </c>
      <c r="D6" s="3">
        <v>32</v>
      </c>
      <c r="E6" s="4">
        <v>45957</v>
      </c>
      <c r="F6" s="18">
        <v>197.25</v>
      </c>
      <c r="G6" s="3" t="s">
        <v>122</v>
      </c>
      <c r="H6" s="3" t="s">
        <v>123</v>
      </c>
      <c r="I6" s="3" t="s">
        <v>109</v>
      </c>
      <c r="J6" s="3"/>
      <c r="K6" s="4"/>
      <c r="L6" s="3"/>
      <c r="M6" s="3" t="s">
        <v>124</v>
      </c>
      <c r="N6" s="3">
        <v>27</v>
      </c>
      <c r="O6" s="4"/>
      <c r="P6" s="4">
        <v>46011</v>
      </c>
      <c r="Q6" s="3" t="s">
        <v>106</v>
      </c>
    </row>
    <row r="7" spans="1:17" x14ac:dyDescent="0.25">
      <c r="A7" s="14">
        <v>45920</v>
      </c>
      <c r="B7" s="15">
        <v>978.15</v>
      </c>
      <c r="C7" s="15">
        <f>SUM(B7*10%)</f>
        <v>97.814999999999998</v>
      </c>
      <c r="D7" s="16"/>
      <c r="E7" s="14"/>
      <c r="F7" s="17">
        <v>0</v>
      </c>
      <c r="G7" s="16" t="s">
        <v>101</v>
      </c>
      <c r="H7" s="16" t="s">
        <v>102</v>
      </c>
      <c r="I7" s="16" t="s">
        <v>109</v>
      </c>
      <c r="J7" s="16"/>
      <c r="K7" s="14"/>
      <c r="L7" s="16"/>
      <c r="M7" s="16" t="s">
        <v>20</v>
      </c>
      <c r="N7" s="16">
        <v>27</v>
      </c>
      <c r="O7" s="14"/>
      <c r="P7" s="14"/>
      <c r="Q7" s="16"/>
    </row>
    <row r="8" spans="1:17" x14ac:dyDescent="0.25">
      <c r="A8" s="4">
        <v>45920</v>
      </c>
      <c r="B8" s="5">
        <v>1070.3599999999999</v>
      </c>
      <c r="C8" s="5">
        <f>SUM(B8*10%)</f>
        <v>107.036</v>
      </c>
      <c r="D8" s="3">
        <v>58</v>
      </c>
      <c r="E8" s="4">
        <v>45940</v>
      </c>
      <c r="F8" s="18">
        <v>127.75</v>
      </c>
      <c r="G8" s="3" t="s">
        <v>111</v>
      </c>
      <c r="H8" s="3" t="s">
        <v>112</v>
      </c>
      <c r="I8" s="3" t="s">
        <v>109</v>
      </c>
      <c r="J8" s="3" t="s">
        <v>105</v>
      </c>
      <c r="K8" s="4">
        <v>46063</v>
      </c>
      <c r="L8" s="3"/>
      <c r="M8" s="3" t="s">
        <v>113</v>
      </c>
      <c r="N8" s="3">
        <v>27</v>
      </c>
      <c r="O8" s="4" t="s">
        <v>448</v>
      </c>
      <c r="P8" s="4">
        <v>45950</v>
      </c>
      <c r="Q8" s="3" t="s">
        <v>106</v>
      </c>
    </row>
    <row r="9" spans="1:17" x14ac:dyDescent="0.25">
      <c r="A9" s="4">
        <v>45920</v>
      </c>
      <c r="B9" s="5">
        <v>1900</v>
      </c>
      <c r="C9" s="5">
        <f>SUM(B9*10%)</f>
        <v>190</v>
      </c>
      <c r="D9" s="3">
        <v>9</v>
      </c>
      <c r="E9" s="4">
        <v>45936</v>
      </c>
      <c r="F9" s="18">
        <v>201.76</v>
      </c>
      <c r="G9" s="3" t="s">
        <v>114</v>
      </c>
      <c r="H9" s="3" t="s">
        <v>115</v>
      </c>
      <c r="I9" s="3" t="s">
        <v>109</v>
      </c>
      <c r="J9" s="3" t="s">
        <v>105</v>
      </c>
      <c r="K9" s="4">
        <v>46051</v>
      </c>
      <c r="L9" s="3"/>
      <c r="M9" s="3" t="s">
        <v>116</v>
      </c>
      <c r="N9" s="3">
        <v>27</v>
      </c>
      <c r="O9" s="4" t="s">
        <v>444</v>
      </c>
      <c r="P9" s="4">
        <v>46011</v>
      </c>
      <c r="Q9" s="3" t="s">
        <v>106</v>
      </c>
    </row>
    <row r="10" spans="1:17" x14ac:dyDescent="0.25">
      <c r="A10" s="20" t="s">
        <v>117</v>
      </c>
      <c r="B10" s="18">
        <f>SUM(B2:B9)</f>
        <v>8972.57</v>
      </c>
      <c r="C10" s="18">
        <f>SUM(C2:C9)</f>
        <v>897.25900000000001</v>
      </c>
      <c r="D10" s="20"/>
      <c r="E10" s="20" t="s">
        <v>8</v>
      </c>
      <c r="F10" s="18">
        <f>SUM(F2:F9)</f>
        <v>762.06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</sheetData>
  <autoFilter ref="A1:Q1" xr:uid="{DC3421B3-F866-4FD4-BA9E-997BD8ACA609}">
    <sortState xmlns:xlrd2="http://schemas.microsoft.com/office/spreadsheetml/2017/richdata2" ref="A2:Q10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983D-E496-428F-9BD2-2B0942380693}">
  <dimension ref="A1:F46"/>
  <sheetViews>
    <sheetView tabSelected="1" topLeftCell="A10" workbookViewId="0">
      <selection activeCell="F29" sqref="F29"/>
    </sheetView>
  </sheetViews>
  <sheetFormatPr defaultRowHeight="15" x14ac:dyDescent="0.25"/>
  <cols>
    <col min="1" max="2" width="9" bestFit="1" customWidth="1"/>
    <col min="3" max="3" width="8.5703125" bestFit="1" customWidth="1"/>
    <col min="4" max="4" width="20.85546875" bestFit="1" customWidth="1"/>
    <col min="5" max="5" width="10.7109375" bestFit="1" customWidth="1"/>
  </cols>
  <sheetData>
    <row r="1" spans="1:6" x14ac:dyDescent="0.25">
      <c r="A1" s="3" t="s">
        <v>39</v>
      </c>
      <c r="B1" s="3" t="s">
        <v>7</v>
      </c>
      <c r="C1" s="3" t="s">
        <v>40</v>
      </c>
      <c r="D1" s="3" t="s">
        <v>41</v>
      </c>
      <c r="E1" s="3" t="s">
        <v>1</v>
      </c>
      <c r="F1" s="9"/>
    </row>
    <row r="2" spans="1:6" x14ac:dyDescent="0.25">
      <c r="A2" s="4">
        <v>45901</v>
      </c>
      <c r="B2" s="4"/>
      <c r="C2" s="3" t="s">
        <v>42</v>
      </c>
      <c r="D2" s="3" t="s">
        <v>43</v>
      </c>
      <c r="E2" s="5"/>
      <c r="F2" s="9"/>
    </row>
    <row r="3" spans="1:6" x14ac:dyDescent="0.25">
      <c r="A3" s="4">
        <v>45902</v>
      </c>
      <c r="B3" s="4"/>
      <c r="C3" s="3" t="s">
        <v>42</v>
      </c>
      <c r="D3" s="3" t="s">
        <v>45</v>
      </c>
      <c r="E3" s="6">
        <v>368.41</v>
      </c>
      <c r="F3" s="9"/>
    </row>
    <row r="4" spans="1:6" x14ac:dyDescent="0.25">
      <c r="A4" s="4">
        <v>45908</v>
      </c>
      <c r="B4" s="4"/>
      <c r="C4" s="3" t="s">
        <v>42</v>
      </c>
      <c r="D4" s="3" t="s">
        <v>54</v>
      </c>
      <c r="E4" s="6"/>
      <c r="F4" s="9"/>
    </row>
    <row r="5" spans="1:6" x14ac:dyDescent="0.25">
      <c r="A5" s="4">
        <v>45915</v>
      </c>
      <c r="B5" s="4"/>
      <c r="C5" s="3" t="s">
        <v>42</v>
      </c>
      <c r="D5" s="3" t="s">
        <v>58</v>
      </c>
      <c r="E5" s="6">
        <v>84.9</v>
      </c>
      <c r="F5" s="9"/>
    </row>
    <row r="6" spans="1:6" x14ac:dyDescent="0.25">
      <c r="A6" s="4">
        <v>45915</v>
      </c>
      <c r="B6" s="4"/>
      <c r="C6" s="3" t="s">
        <v>42</v>
      </c>
      <c r="D6" s="3" t="s">
        <v>59</v>
      </c>
      <c r="E6" s="6">
        <v>123.98</v>
      </c>
      <c r="F6" s="9"/>
    </row>
    <row r="7" spans="1:6" x14ac:dyDescent="0.25">
      <c r="A7" s="4">
        <v>45915</v>
      </c>
      <c r="B7" s="4"/>
      <c r="C7" s="3" t="s">
        <v>42</v>
      </c>
      <c r="D7" s="3" t="s">
        <v>60</v>
      </c>
      <c r="E7" s="6">
        <v>264.55</v>
      </c>
      <c r="F7" s="9"/>
    </row>
    <row r="8" spans="1:6" x14ac:dyDescent="0.25">
      <c r="A8" s="4">
        <v>45925</v>
      </c>
      <c r="B8" s="4"/>
      <c r="C8" s="3" t="s">
        <v>42</v>
      </c>
      <c r="D8" s="3" t="s">
        <v>70</v>
      </c>
      <c r="E8" s="6">
        <v>300.14999999999998</v>
      </c>
      <c r="F8" s="9"/>
    </row>
    <row r="9" spans="1:6" x14ac:dyDescent="0.25">
      <c r="A9" s="4">
        <v>45925</v>
      </c>
      <c r="B9" s="4"/>
      <c r="C9" s="3" t="s">
        <v>42</v>
      </c>
      <c r="D9" s="3" t="s">
        <v>71</v>
      </c>
      <c r="E9" s="6"/>
      <c r="F9" s="9"/>
    </row>
    <row r="10" spans="1:6" x14ac:dyDescent="0.25">
      <c r="A10" s="4">
        <v>45930</v>
      </c>
      <c r="B10" s="4"/>
      <c r="C10" s="3" t="s">
        <v>42</v>
      </c>
      <c r="D10" s="3" t="s">
        <v>75</v>
      </c>
      <c r="E10" s="6">
        <v>350</v>
      </c>
      <c r="F10" s="9"/>
    </row>
    <row r="11" spans="1:6" x14ac:dyDescent="0.25">
      <c r="A11" s="10">
        <v>45930</v>
      </c>
      <c r="B11" s="10">
        <v>45939</v>
      </c>
      <c r="C11" s="11" t="s">
        <v>42</v>
      </c>
      <c r="D11" s="11" t="s">
        <v>76</v>
      </c>
      <c r="E11" s="13">
        <v>500</v>
      </c>
      <c r="F11" s="9"/>
    </row>
    <row r="12" spans="1:6" x14ac:dyDescent="0.25">
      <c r="A12" s="4">
        <v>45930</v>
      </c>
      <c r="B12" s="4"/>
      <c r="C12" s="3" t="s">
        <v>42</v>
      </c>
      <c r="D12" s="3" t="s">
        <v>77</v>
      </c>
      <c r="E12" s="6">
        <v>150</v>
      </c>
      <c r="F12" s="9"/>
    </row>
    <row r="13" spans="1:6" x14ac:dyDescent="0.25">
      <c r="A13" s="4">
        <v>45930</v>
      </c>
      <c r="B13" s="4"/>
      <c r="C13" s="3" t="s">
        <v>42</v>
      </c>
      <c r="D13" s="3" t="s">
        <v>78</v>
      </c>
      <c r="E13" s="6">
        <v>269.47000000000003</v>
      </c>
      <c r="F13" s="9"/>
    </row>
    <row r="14" spans="1:6" x14ac:dyDescent="0.25">
      <c r="A14" s="4">
        <v>45930</v>
      </c>
      <c r="B14" s="4"/>
      <c r="C14" s="3" t="s">
        <v>42</v>
      </c>
      <c r="D14" s="3" t="s">
        <v>79</v>
      </c>
      <c r="E14" s="6">
        <v>367.75</v>
      </c>
      <c r="F14" s="9"/>
    </row>
    <row r="15" spans="1:6" x14ac:dyDescent="0.25">
      <c r="A15" s="10">
        <v>45931</v>
      </c>
      <c r="B15" s="10">
        <v>45932</v>
      </c>
      <c r="C15" s="11" t="s">
        <v>42</v>
      </c>
      <c r="D15" s="11" t="s">
        <v>82</v>
      </c>
      <c r="E15" s="12">
        <v>1101.5999999999999</v>
      </c>
      <c r="F15" s="9"/>
    </row>
    <row r="16" spans="1:6" x14ac:dyDescent="0.25">
      <c r="A16" s="10">
        <v>45933</v>
      </c>
      <c r="B16" s="10">
        <v>45933</v>
      </c>
      <c r="C16" s="11" t="s">
        <v>42</v>
      </c>
      <c r="D16" s="11" t="s">
        <v>441</v>
      </c>
      <c r="E16" s="12">
        <v>30</v>
      </c>
      <c r="F16" s="9"/>
    </row>
    <row r="17" spans="1:6" x14ac:dyDescent="0.25">
      <c r="A17" s="10">
        <v>45937</v>
      </c>
      <c r="B17" s="10">
        <v>45936</v>
      </c>
      <c r="C17" s="11" t="s">
        <v>42</v>
      </c>
      <c r="D17" s="11" t="s">
        <v>49</v>
      </c>
      <c r="E17" s="13">
        <v>1942.87</v>
      </c>
      <c r="F17" s="9"/>
    </row>
    <row r="18" spans="1:6" x14ac:dyDescent="0.25">
      <c r="A18" s="10">
        <v>45937</v>
      </c>
      <c r="B18" s="10">
        <v>45947</v>
      </c>
      <c r="C18" s="11" t="s">
        <v>453</v>
      </c>
      <c r="D18" s="11" t="s">
        <v>454</v>
      </c>
      <c r="E18" s="13">
        <v>280</v>
      </c>
      <c r="F18" s="9"/>
    </row>
    <row r="19" spans="1:6" x14ac:dyDescent="0.25">
      <c r="A19" s="10">
        <v>45937</v>
      </c>
      <c r="B19" s="10">
        <v>45936</v>
      </c>
      <c r="C19" s="11" t="s">
        <v>42</v>
      </c>
      <c r="D19" s="11" t="s">
        <v>50</v>
      </c>
      <c r="E19" s="13">
        <v>340.8</v>
      </c>
      <c r="F19" s="9"/>
    </row>
    <row r="20" spans="1:6" x14ac:dyDescent="0.25">
      <c r="A20" s="10">
        <v>45937</v>
      </c>
      <c r="B20" s="10">
        <v>45937</v>
      </c>
      <c r="C20" s="11" t="s">
        <v>42</v>
      </c>
      <c r="D20" s="11" t="s">
        <v>51</v>
      </c>
      <c r="E20" s="13">
        <v>3500</v>
      </c>
      <c r="F20" s="9"/>
    </row>
    <row r="21" spans="1:6" x14ac:dyDescent="0.25">
      <c r="A21" s="10">
        <v>45938</v>
      </c>
      <c r="B21" s="10">
        <v>45938</v>
      </c>
      <c r="C21" s="11" t="s">
        <v>42</v>
      </c>
      <c r="D21" s="11" t="s">
        <v>80</v>
      </c>
      <c r="E21" s="13">
        <v>154.72</v>
      </c>
      <c r="F21" s="9"/>
    </row>
    <row r="22" spans="1:6" x14ac:dyDescent="0.25">
      <c r="A22" s="10">
        <v>45938</v>
      </c>
      <c r="B22" s="10">
        <v>45938</v>
      </c>
      <c r="C22" s="11" t="s">
        <v>42</v>
      </c>
      <c r="D22" s="11" t="s">
        <v>52</v>
      </c>
      <c r="E22" s="13">
        <v>700</v>
      </c>
      <c r="F22" s="9"/>
    </row>
    <row r="23" spans="1:6" x14ac:dyDescent="0.25">
      <c r="A23" s="10">
        <v>45938</v>
      </c>
      <c r="B23" s="10">
        <v>45938</v>
      </c>
      <c r="C23" s="11" t="s">
        <v>42</v>
      </c>
      <c r="D23" s="11" t="s">
        <v>53</v>
      </c>
      <c r="E23" s="13">
        <v>461.24</v>
      </c>
      <c r="F23" s="9"/>
    </row>
    <row r="24" spans="1:6" x14ac:dyDescent="0.25">
      <c r="A24" s="10">
        <v>45940</v>
      </c>
      <c r="B24" s="10">
        <v>45940</v>
      </c>
      <c r="C24" s="11" t="s">
        <v>42</v>
      </c>
      <c r="D24" s="11" t="s">
        <v>56</v>
      </c>
      <c r="E24" s="13">
        <v>70.921999999999997</v>
      </c>
      <c r="F24" s="9"/>
    </row>
    <row r="25" spans="1:6" x14ac:dyDescent="0.25">
      <c r="A25" s="10">
        <v>45940</v>
      </c>
      <c r="B25" s="10">
        <v>45939</v>
      </c>
      <c r="C25" s="11" t="s">
        <v>42</v>
      </c>
      <c r="D25" s="11" t="s">
        <v>57</v>
      </c>
      <c r="E25" s="13">
        <v>250.87</v>
      </c>
      <c r="F25" s="9"/>
    </row>
    <row r="26" spans="1:6" x14ac:dyDescent="0.25">
      <c r="A26" s="10">
        <v>45940</v>
      </c>
      <c r="B26" s="10">
        <v>45940</v>
      </c>
      <c r="C26" s="11" t="s">
        <v>42</v>
      </c>
      <c r="D26" s="11" t="s">
        <v>44</v>
      </c>
      <c r="E26" s="13">
        <v>855.68</v>
      </c>
      <c r="F26" s="9"/>
    </row>
    <row r="27" spans="1:6" x14ac:dyDescent="0.25">
      <c r="A27" s="10">
        <v>45946</v>
      </c>
      <c r="B27" s="10">
        <v>45946</v>
      </c>
      <c r="C27" s="11" t="s">
        <v>42</v>
      </c>
      <c r="D27" s="11" t="s">
        <v>46</v>
      </c>
      <c r="E27" s="13">
        <v>1822.9</v>
      </c>
      <c r="F27" s="9"/>
    </row>
    <row r="28" spans="1:6" x14ac:dyDescent="0.25">
      <c r="A28" s="10">
        <v>45950</v>
      </c>
      <c r="B28" s="10">
        <v>45952</v>
      </c>
      <c r="C28" s="11" t="s">
        <v>42</v>
      </c>
      <c r="D28" s="11" t="s">
        <v>61</v>
      </c>
      <c r="E28" s="13">
        <v>80.59</v>
      </c>
      <c r="F28" s="9"/>
    </row>
    <row r="29" spans="1:6" x14ac:dyDescent="0.25">
      <c r="A29" s="10">
        <v>45950</v>
      </c>
      <c r="B29" s="10">
        <v>45952</v>
      </c>
      <c r="C29" s="11" t="s">
        <v>42</v>
      </c>
      <c r="D29" s="11" t="s">
        <v>64</v>
      </c>
      <c r="E29" s="13">
        <v>68.739999999999995</v>
      </c>
      <c r="F29" s="9"/>
    </row>
    <row r="30" spans="1:6" x14ac:dyDescent="0.25">
      <c r="A30" s="10">
        <v>45950</v>
      </c>
      <c r="B30" s="10">
        <v>45952</v>
      </c>
      <c r="C30" s="11" t="s">
        <v>42</v>
      </c>
      <c r="D30" s="11" t="s">
        <v>68</v>
      </c>
      <c r="E30" s="13">
        <v>23.65</v>
      </c>
      <c r="F30" s="9"/>
    </row>
    <row r="31" spans="1:6" x14ac:dyDescent="0.25">
      <c r="A31" s="10">
        <v>45950</v>
      </c>
      <c r="B31" s="10">
        <v>45950</v>
      </c>
      <c r="C31" s="11" t="s">
        <v>42</v>
      </c>
      <c r="D31" s="11" t="s">
        <v>62</v>
      </c>
      <c r="E31" s="13">
        <v>2169.6799999999998</v>
      </c>
      <c r="F31" s="9"/>
    </row>
    <row r="32" spans="1:6" x14ac:dyDescent="0.25">
      <c r="A32" s="10">
        <v>45950</v>
      </c>
      <c r="B32" s="10">
        <v>45950</v>
      </c>
      <c r="C32" s="11" t="s">
        <v>42</v>
      </c>
      <c r="D32" s="11" t="s">
        <v>63</v>
      </c>
      <c r="E32" s="13">
        <v>751.36</v>
      </c>
      <c r="F32" s="9"/>
    </row>
    <row r="33" spans="1:6" x14ac:dyDescent="0.25">
      <c r="A33" s="10">
        <v>45951</v>
      </c>
      <c r="B33" s="10">
        <v>45952</v>
      </c>
      <c r="C33" s="11" t="s">
        <v>42</v>
      </c>
      <c r="D33" s="11" t="s">
        <v>55</v>
      </c>
      <c r="E33" s="13">
        <v>946.91</v>
      </c>
      <c r="F33" s="9"/>
    </row>
    <row r="34" spans="1:6" x14ac:dyDescent="0.25">
      <c r="A34" s="10">
        <v>45952</v>
      </c>
      <c r="B34" s="10">
        <v>45952</v>
      </c>
      <c r="C34" s="11" t="s">
        <v>42</v>
      </c>
      <c r="D34" s="11" t="s">
        <v>47</v>
      </c>
      <c r="E34" s="13">
        <v>480.66</v>
      </c>
      <c r="F34" s="9"/>
    </row>
    <row r="35" spans="1:6" x14ac:dyDescent="0.25">
      <c r="A35" s="10">
        <v>45952</v>
      </c>
      <c r="B35" s="10">
        <v>45952</v>
      </c>
      <c r="C35" s="11" t="s">
        <v>42</v>
      </c>
      <c r="D35" s="11" t="s">
        <v>67</v>
      </c>
      <c r="E35" s="13">
        <v>3000</v>
      </c>
      <c r="F35" s="9"/>
    </row>
    <row r="36" spans="1:6" x14ac:dyDescent="0.25">
      <c r="A36" s="10">
        <v>45952</v>
      </c>
      <c r="B36" s="10">
        <v>45952</v>
      </c>
      <c r="C36" s="11" t="s">
        <v>453</v>
      </c>
      <c r="D36" s="11" t="s">
        <v>466</v>
      </c>
      <c r="E36" s="13">
        <v>227.87</v>
      </c>
      <c r="F36" s="9"/>
    </row>
    <row r="37" spans="1:6" x14ac:dyDescent="0.25">
      <c r="A37" s="29">
        <v>45955</v>
      </c>
      <c r="B37" s="29"/>
      <c r="C37" s="25" t="s">
        <v>42</v>
      </c>
      <c r="D37" s="25" t="s">
        <v>69</v>
      </c>
      <c r="E37" s="26">
        <v>2522.7600000000002</v>
      </c>
      <c r="F37" s="9"/>
    </row>
    <row r="38" spans="1:6" x14ac:dyDescent="0.25">
      <c r="A38" s="29">
        <v>45955</v>
      </c>
      <c r="B38" s="29"/>
      <c r="C38" s="25" t="s">
        <v>42</v>
      </c>
      <c r="D38" s="25" t="s">
        <v>48</v>
      </c>
      <c r="E38" s="26">
        <v>245.75</v>
      </c>
      <c r="F38" s="9"/>
    </row>
    <row r="39" spans="1:6" x14ac:dyDescent="0.25">
      <c r="A39" s="29">
        <v>45957</v>
      </c>
      <c r="B39" s="29"/>
      <c r="C39" s="25" t="s">
        <v>42</v>
      </c>
      <c r="D39" s="25" t="s">
        <v>72</v>
      </c>
      <c r="E39" s="26">
        <v>200</v>
      </c>
      <c r="F39" s="9"/>
    </row>
    <row r="40" spans="1:6" x14ac:dyDescent="0.25">
      <c r="A40" s="29">
        <v>45957</v>
      </c>
      <c r="B40" s="29"/>
      <c r="C40" s="25" t="s">
        <v>42</v>
      </c>
      <c r="D40" s="25" t="s">
        <v>73</v>
      </c>
      <c r="E40" s="26">
        <v>700</v>
      </c>
      <c r="F40" s="9"/>
    </row>
    <row r="41" spans="1:6" x14ac:dyDescent="0.25">
      <c r="A41" s="10">
        <v>45958</v>
      </c>
      <c r="B41" s="10">
        <v>45964</v>
      </c>
      <c r="C41" s="11" t="s">
        <v>42</v>
      </c>
      <c r="D41" s="11" t="s">
        <v>74</v>
      </c>
      <c r="E41" s="13">
        <v>214.19</v>
      </c>
      <c r="F41" s="9"/>
    </row>
    <row r="42" spans="1:6" x14ac:dyDescent="0.25">
      <c r="A42" s="10">
        <v>45960</v>
      </c>
      <c r="B42" s="10">
        <v>45964</v>
      </c>
      <c r="C42" s="11" t="s">
        <v>42</v>
      </c>
      <c r="D42" s="11" t="s">
        <v>65</v>
      </c>
      <c r="E42" s="13">
        <v>449</v>
      </c>
      <c r="F42" s="9"/>
    </row>
    <row r="43" spans="1:6" x14ac:dyDescent="0.25">
      <c r="A43" s="10">
        <v>45960</v>
      </c>
      <c r="B43" s="10">
        <v>45964</v>
      </c>
      <c r="C43" s="11" t="s">
        <v>42</v>
      </c>
      <c r="D43" s="11" t="s">
        <v>66</v>
      </c>
      <c r="E43" s="13">
        <v>609</v>
      </c>
      <c r="F43" s="9"/>
    </row>
    <row r="44" spans="1:6" x14ac:dyDescent="0.25">
      <c r="A44" s="10">
        <v>45960</v>
      </c>
      <c r="B44" s="10"/>
      <c r="C44" s="11" t="s">
        <v>42</v>
      </c>
      <c r="D44" s="11" t="s">
        <v>76</v>
      </c>
      <c r="E44" s="13">
        <v>500</v>
      </c>
    </row>
    <row r="45" spans="1:6" x14ac:dyDescent="0.25">
      <c r="A45" s="3"/>
      <c r="B45" s="3"/>
      <c r="C45" s="3"/>
      <c r="D45" s="3" t="s">
        <v>81</v>
      </c>
      <c r="E45" s="6">
        <f>SUM(E2:E44)</f>
        <v>27480.971999999998</v>
      </c>
    </row>
    <row r="46" spans="1:6" x14ac:dyDescent="0.25">
      <c r="A46" s="9"/>
      <c r="B46" s="9"/>
      <c r="C46" s="9"/>
      <c r="D46" s="9"/>
      <c r="E46" s="9"/>
    </row>
  </sheetData>
  <autoFilter ref="A1:E1" xr:uid="{70E5983D-E496-428F-9BD2-2B0942380693}">
    <sortState xmlns:xlrd2="http://schemas.microsoft.com/office/spreadsheetml/2017/richdata2" ref="A2:E45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4212-E835-4BAF-86D7-11500907E130}">
  <dimension ref="A1:K12"/>
  <sheetViews>
    <sheetView workbookViewId="0">
      <selection activeCell="E9" sqref="E2:E9"/>
    </sheetView>
  </sheetViews>
  <sheetFormatPr defaultRowHeight="15" x14ac:dyDescent="0.25"/>
  <cols>
    <col min="1" max="1" width="14.140625" bestFit="1" customWidth="1"/>
    <col min="2" max="2" width="9.85546875" bestFit="1" customWidth="1"/>
    <col min="3" max="3" width="9.85546875" customWidth="1"/>
    <col min="4" max="4" width="9" bestFit="1" customWidth="1"/>
    <col min="5" max="5" width="8.5703125" bestFit="1" customWidth="1"/>
    <col min="6" max="6" width="11.28515625" bestFit="1" customWidth="1"/>
    <col min="7" max="7" width="24.140625" bestFit="1" customWidth="1"/>
    <col min="8" max="8" width="22.140625" bestFit="1" customWidth="1"/>
    <col min="9" max="9" width="14.42578125" bestFit="1" customWidth="1"/>
    <col min="10" max="10" width="10.85546875" bestFit="1" customWidth="1"/>
    <col min="11" max="11" width="10.42578125" bestFit="1" customWidth="1"/>
  </cols>
  <sheetData>
    <row r="1" spans="1:11" x14ac:dyDescent="0.25">
      <c r="A1" s="3" t="s">
        <v>5</v>
      </c>
      <c r="B1" s="3" t="s">
        <v>6</v>
      </c>
      <c r="C1" s="3" t="s">
        <v>494</v>
      </c>
      <c r="D1" s="3" t="s">
        <v>7</v>
      </c>
      <c r="E1" s="3" t="s">
        <v>8</v>
      </c>
      <c r="F1" s="3" t="s">
        <v>9</v>
      </c>
      <c r="G1" s="3" t="s">
        <v>0</v>
      </c>
      <c r="H1" s="3" t="s">
        <v>10</v>
      </c>
      <c r="I1" s="3" t="s">
        <v>11</v>
      </c>
      <c r="J1" s="3" t="s">
        <v>92</v>
      </c>
      <c r="K1" s="1" t="s">
        <v>12</v>
      </c>
    </row>
    <row r="2" spans="1:11" x14ac:dyDescent="0.25">
      <c r="A2" s="4">
        <v>45940</v>
      </c>
      <c r="B2" s="5">
        <v>150</v>
      </c>
      <c r="C2" s="5">
        <v>150</v>
      </c>
      <c r="D2" s="4">
        <v>45938</v>
      </c>
      <c r="E2" s="6">
        <v>0</v>
      </c>
      <c r="F2" s="3" t="s">
        <v>446</v>
      </c>
      <c r="G2" s="3" t="s">
        <v>13</v>
      </c>
      <c r="H2" s="3" t="s">
        <v>14</v>
      </c>
      <c r="I2" s="4">
        <v>45957</v>
      </c>
      <c r="J2" s="4">
        <v>46001</v>
      </c>
      <c r="K2" s="1"/>
    </row>
    <row r="3" spans="1:11" x14ac:dyDescent="0.25">
      <c r="A3" s="4">
        <v>45910</v>
      </c>
      <c r="B3" s="5">
        <v>300</v>
      </c>
      <c r="C3" s="5"/>
      <c r="D3" s="4"/>
      <c r="E3" s="6">
        <v>0</v>
      </c>
      <c r="F3" s="3" t="s">
        <v>21</v>
      </c>
      <c r="G3" s="3" t="s">
        <v>22</v>
      </c>
      <c r="H3" s="3" t="s">
        <v>23</v>
      </c>
      <c r="I3" s="4"/>
      <c r="J3" s="4"/>
      <c r="K3" s="1"/>
    </row>
    <row r="4" spans="1:11" x14ac:dyDescent="0.25">
      <c r="A4" s="4">
        <v>45910</v>
      </c>
      <c r="B4" s="5">
        <v>500</v>
      </c>
      <c r="C4" s="5">
        <v>250</v>
      </c>
      <c r="D4" s="4">
        <v>45939</v>
      </c>
      <c r="E4" s="6">
        <v>55.28</v>
      </c>
      <c r="F4" s="3" t="s">
        <v>24</v>
      </c>
      <c r="G4" s="3" t="s">
        <v>25</v>
      </c>
      <c r="H4" s="3" t="s">
        <v>26</v>
      </c>
      <c r="I4" s="4" t="s">
        <v>447</v>
      </c>
      <c r="J4" s="4"/>
      <c r="K4" s="1"/>
    </row>
    <row r="5" spans="1:11" x14ac:dyDescent="0.25">
      <c r="A5" s="4">
        <v>45915</v>
      </c>
      <c r="B5" s="5">
        <v>507.94</v>
      </c>
      <c r="C5" s="5">
        <v>0</v>
      </c>
      <c r="D5" s="4">
        <v>45943</v>
      </c>
      <c r="E5" s="6">
        <v>55.9</v>
      </c>
      <c r="F5" s="3" t="s">
        <v>34</v>
      </c>
      <c r="G5" s="3" t="s">
        <v>15</v>
      </c>
      <c r="H5" s="3" t="s">
        <v>16</v>
      </c>
      <c r="I5" s="4" t="s">
        <v>452</v>
      </c>
      <c r="J5" s="4"/>
      <c r="K5" s="1"/>
    </row>
    <row r="6" spans="1:11" x14ac:dyDescent="0.25">
      <c r="A6" s="4">
        <v>45940</v>
      </c>
      <c r="B6" s="5">
        <v>400</v>
      </c>
      <c r="C6" s="5">
        <v>20</v>
      </c>
      <c r="D6" s="4">
        <v>45940</v>
      </c>
      <c r="E6" s="6">
        <v>0</v>
      </c>
      <c r="F6" s="3" t="s">
        <v>35</v>
      </c>
      <c r="G6" s="3" t="s">
        <v>17</v>
      </c>
      <c r="H6" s="3" t="s">
        <v>18</v>
      </c>
      <c r="I6" s="4">
        <v>45947</v>
      </c>
      <c r="J6" s="4">
        <v>46001</v>
      </c>
      <c r="K6" s="1"/>
    </row>
    <row r="7" spans="1:11" x14ac:dyDescent="0.25">
      <c r="A7" s="4">
        <v>45940</v>
      </c>
      <c r="B7" s="5">
        <v>200</v>
      </c>
      <c r="C7" s="5"/>
      <c r="D7" s="4">
        <v>45940</v>
      </c>
      <c r="E7" s="6">
        <v>0</v>
      </c>
      <c r="F7" s="3" t="s">
        <v>36</v>
      </c>
      <c r="G7" s="3" t="s">
        <v>19</v>
      </c>
      <c r="H7" s="3" t="s">
        <v>20</v>
      </c>
      <c r="I7" s="4"/>
      <c r="J7" s="4"/>
      <c r="K7" s="1"/>
    </row>
    <row r="8" spans="1:11" x14ac:dyDescent="0.25">
      <c r="A8" s="4">
        <v>45945</v>
      </c>
      <c r="B8" s="5">
        <v>644.03</v>
      </c>
      <c r="C8" s="5">
        <v>644.03</v>
      </c>
      <c r="D8" s="4">
        <v>45946</v>
      </c>
      <c r="E8" s="6">
        <v>64.61</v>
      </c>
      <c r="F8" s="3" t="s">
        <v>37</v>
      </c>
      <c r="G8" s="3" t="s">
        <v>27</v>
      </c>
      <c r="H8" s="3" t="s">
        <v>28</v>
      </c>
      <c r="I8" s="4">
        <v>45945</v>
      </c>
      <c r="J8" s="4"/>
      <c r="K8" s="1" t="s">
        <v>29</v>
      </c>
    </row>
    <row r="9" spans="1:11" x14ac:dyDescent="0.25">
      <c r="A9" s="4">
        <v>45955</v>
      </c>
      <c r="B9" s="5">
        <v>308.2</v>
      </c>
      <c r="C9" s="5">
        <v>308.2</v>
      </c>
      <c r="D9" s="4">
        <v>45954</v>
      </c>
      <c r="E9" s="6">
        <v>0</v>
      </c>
      <c r="F9" s="7" t="s">
        <v>38</v>
      </c>
      <c r="G9" s="3" t="s">
        <v>30</v>
      </c>
      <c r="H9" s="3" t="s">
        <v>28</v>
      </c>
      <c r="I9" s="4">
        <v>45957</v>
      </c>
      <c r="J9" s="4"/>
      <c r="K9" s="1"/>
    </row>
    <row r="10" spans="1:11" x14ac:dyDescent="0.25">
      <c r="A10" s="8"/>
      <c r="B10" s="8"/>
      <c r="C10" s="8"/>
      <c r="D10" s="8"/>
      <c r="E10" s="8"/>
      <c r="F10" s="8"/>
      <c r="G10" s="1" t="s">
        <v>31</v>
      </c>
      <c r="H10" s="8"/>
      <c r="I10" s="8"/>
      <c r="J10" s="8"/>
      <c r="K10" s="1"/>
    </row>
    <row r="11" spans="1:11" x14ac:dyDescent="0.25">
      <c r="A11" s="8"/>
      <c r="B11" s="8"/>
      <c r="C11" s="8"/>
      <c r="D11" s="8"/>
      <c r="E11" s="8"/>
      <c r="F11" s="8"/>
      <c r="G11" s="1" t="s">
        <v>32</v>
      </c>
      <c r="H11" s="8"/>
      <c r="I11" s="8"/>
      <c r="J11" s="8"/>
      <c r="K11" s="1"/>
    </row>
    <row r="12" spans="1:11" x14ac:dyDescent="0.25">
      <c r="A12" s="8"/>
      <c r="B12" s="8"/>
      <c r="C12" s="8"/>
      <c r="D12" s="8"/>
      <c r="E12" s="8"/>
      <c r="F12" s="8"/>
      <c r="G12" s="1" t="s">
        <v>33</v>
      </c>
      <c r="H12" s="8"/>
      <c r="I12" s="8"/>
      <c r="J12" s="8"/>
      <c r="K12" s="1"/>
    </row>
  </sheetData>
  <autoFilter ref="A1:K1" xr:uid="{3C7D4212-E835-4BAF-86D7-11500907E130}">
    <sortState xmlns:xlrd2="http://schemas.microsoft.com/office/spreadsheetml/2017/richdata2" ref="A2:K1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D8" sqref="D8"/>
    </sheetView>
  </sheetViews>
  <sheetFormatPr defaultRowHeight="15" x14ac:dyDescent="0.25"/>
  <cols>
    <col min="1" max="1" width="16.85546875" bestFit="1" customWidth="1"/>
    <col min="2" max="2" width="9.85546875" bestFit="1" customWidth="1"/>
    <col min="3" max="3" width="18.85546875" bestFit="1" customWidth="1"/>
    <col min="4" max="4" width="2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1" t="s">
        <v>3</v>
      </c>
      <c r="B2" s="2">
        <v>2649.04</v>
      </c>
      <c r="C2" s="1" t="s">
        <v>4</v>
      </c>
    </row>
    <row r="3" spans="1:4" x14ac:dyDescent="0.25">
      <c r="A3" s="1" t="s">
        <v>442</v>
      </c>
      <c r="B3" s="2">
        <v>2720.11</v>
      </c>
      <c r="C3" s="1" t="s">
        <v>443</v>
      </c>
    </row>
    <row r="4" spans="1:4" x14ac:dyDescent="0.25">
      <c r="A4" s="1" t="s">
        <v>357</v>
      </c>
      <c r="B4" s="2" t="s">
        <v>106</v>
      </c>
      <c r="C4" s="1" t="s">
        <v>106</v>
      </c>
      <c r="D4" s="1" t="s">
        <v>458</v>
      </c>
    </row>
    <row r="5" spans="1:4" x14ac:dyDescent="0.25">
      <c r="A5" s="1" t="s">
        <v>415</v>
      </c>
      <c r="B5" s="2" t="s">
        <v>106</v>
      </c>
      <c r="C5" s="1" t="s">
        <v>106</v>
      </c>
      <c r="D5" s="1" t="s">
        <v>459</v>
      </c>
    </row>
    <row r="6" spans="1:4" x14ac:dyDescent="0.25">
      <c r="A6" s="1" t="s">
        <v>457</v>
      </c>
      <c r="B6" s="2" t="s">
        <v>106</v>
      </c>
      <c r="C6" s="1" t="s">
        <v>106</v>
      </c>
      <c r="D6" s="1" t="s">
        <v>460</v>
      </c>
    </row>
    <row r="7" spans="1:4" x14ac:dyDescent="0.25">
      <c r="A7" s="1"/>
      <c r="B7" s="2"/>
      <c r="C7" s="1"/>
    </row>
    <row r="8" spans="1:4" x14ac:dyDescent="0.25">
      <c r="A8" s="1"/>
      <c r="B8" s="2"/>
      <c r="C8" s="1"/>
    </row>
    <row r="9" spans="1:4" x14ac:dyDescent="0.25">
      <c r="A9" s="1"/>
      <c r="B9" s="2"/>
      <c r="C9" s="1"/>
    </row>
    <row r="10" spans="1:4" x14ac:dyDescent="0.25">
      <c r="A10" s="1"/>
      <c r="B10" s="2"/>
      <c r="C10" s="1"/>
    </row>
    <row r="11" spans="1:4" x14ac:dyDescent="0.25">
      <c r="A11" s="1"/>
      <c r="B11" s="2"/>
      <c r="C11" s="1"/>
    </row>
    <row r="12" spans="1:4" x14ac:dyDescent="0.25">
      <c r="A12" s="1"/>
      <c r="B12" s="2"/>
      <c r="C12" s="1"/>
    </row>
    <row r="13" spans="1:4" x14ac:dyDescent="0.25">
      <c r="A13" s="1"/>
      <c r="B13" s="2"/>
      <c r="C13" s="1"/>
    </row>
    <row r="14" spans="1:4" x14ac:dyDescent="0.25">
      <c r="A14" s="1"/>
      <c r="B14" s="2"/>
      <c r="C14" s="1"/>
    </row>
    <row r="15" spans="1:4" x14ac:dyDescent="0.25">
      <c r="A15" s="1"/>
      <c r="B15" s="2"/>
      <c r="C15" s="1"/>
    </row>
    <row r="16" spans="1:4" x14ac:dyDescent="0.25">
      <c r="A16" s="1"/>
      <c r="B16" s="2"/>
      <c r="C16" s="1"/>
    </row>
    <row r="17" spans="1:3" x14ac:dyDescent="0.25">
      <c r="A17" s="1"/>
      <c r="B17" s="2"/>
      <c r="C17" s="1"/>
    </row>
    <row r="18" spans="1:3" x14ac:dyDescent="0.25">
      <c r="A18" s="1"/>
      <c r="B18" s="2"/>
      <c r="C18" s="1"/>
    </row>
    <row r="19" spans="1:3" x14ac:dyDescent="0.25">
      <c r="A19" s="1"/>
      <c r="B19" s="2"/>
      <c r="C19" s="1"/>
    </row>
    <row r="20" spans="1:3" x14ac:dyDescent="0.25">
      <c r="A20" s="1"/>
      <c r="B20" s="2"/>
      <c r="C20" s="1"/>
    </row>
    <row r="21" spans="1:3" x14ac:dyDescent="0.25">
      <c r="A21" s="1"/>
      <c r="B21" s="2"/>
      <c r="C21" s="1"/>
    </row>
    <row r="22" spans="1:3" x14ac:dyDescent="0.25">
      <c r="A22" s="1"/>
      <c r="B22" s="2"/>
      <c r="C22" s="1"/>
    </row>
    <row r="23" spans="1:3" x14ac:dyDescent="0.25">
      <c r="A23" s="1"/>
      <c r="B23" s="2"/>
      <c r="C23" s="1"/>
    </row>
    <row r="24" spans="1:3" x14ac:dyDescent="0.25">
      <c r="A24" s="1"/>
      <c r="B24" s="2"/>
      <c r="C24" s="1"/>
    </row>
    <row r="25" spans="1:3" x14ac:dyDescent="0.25">
      <c r="A25" s="1"/>
      <c r="B25" s="2"/>
      <c r="C25" s="1"/>
    </row>
    <row r="26" spans="1:3" x14ac:dyDescent="0.25">
      <c r="A26" s="1"/>
      <c r="B26" s="2"/>
      <c r="C26" s="1"/>
    </row>
    <row r="27" spans="1:3" x14ac:dyDescent="0.25">
      <c r="A27" s="1"/>
      <c r="B27" s="2"/>
      <c r="C27" s="1"/>
    </row>
    <row r="28" spans="1:3" x14ac:dyDescent="0.25">
      <c r="A28" s="1"/>
      <c r="B28" s="2"/>
      <c r="C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D00C-06B2-4794-A6A9-190B4885B001}">
  <dimension ref="A1:B44"/>
  <sheetViews>
    <sheetView workbookViewId="0">
      <selection activeCell="I29" sqref="I29"/>
    </sheetView>
  </sheetViews>
  <sheetFormatPr defaultRowHeight="15" x14ac:dyDescent="0.25"/>
  <cols>
    <col min="1" max="1" width="13.28515625" bestFit="1" customWidth="1"/>
    <col min="2" max="2" width="24" bestFit="1" customWidth="1"/>
  </cols>
  <sheetData>
    <row r="1" spans="1:2" x14ac:dyDescent="0.25">
      <c r="A1" s="30">
        <v>1213.46</v>
      </c>
      <c r="B1" s="31"/>
    </row>
    <row r="2" spans="1:2" x14ac:dyDescent="0.25">
      <c r="A2" s="30">
        <v>591.04</v>
      </c>
      <c r="B2" s="31"/>
    </row>
    <row r="3" spans="1:2" x14ac:dyDescent="0.25">
      <c r="A3" s="30">
        <v>976.68</v>
      </c>
      <c r="B3" s="31"/>
    </row>
    <row r="4" spans="1:2" x14ac:dyDescent="0.25">
      <c r="A4" s="30">
        <v>1362.35</v>
      </c>
      <c r="B4" s="31"/>
    </row>
    <row r="5" spans="1:2" x14ac:dyDescent="0.25">
      <c r="A5" s="30">
        <v>1059.5999999999999</v>
      </c>
      <c r="B5" s="31"/>
    </row>
    <row r="6" spans="1:2" x14ac:dyDescent="0.25">
      <c r="A6" s="30">
        <v>1968.7</v>
      </c>
      <c r="B6" s="31"/>
    </row>
    <row r="7" spans="1:2" x14ac:dyDescent="0.25">
      <c r="A7" s="30">
        <v>2610</v>
      </c>
      <c r="B7" s="31"/>
    </row>
    <row r="8" spans="1:2" x14ac:dyDescent="0.25">
      <c r="A8" s="30">
        <v>830.72</v>
      </c>
      <c r="B8" s="31"/>
    </row>
    <row r="9" spans="1:2" x14ac:dyDescent="0.25">
      <c r="A9" s="30">
        <v>537.16999999999996</v>
      </c>
      <c r="B9" s="31"/>
    </row>
    <row r="10" spans="1:2" x14ac:dyDescent="0.25">
      <c r="A10" s="30">
        <v>1170</v>
      </c>
      <c r="B10" s="31"/>
    </row>
    <row r="11" spans="1:2" x14ac:dyDescent="0.25">
      <c r="A11" s="30">
        <v>1750.85</v>
      </c>
      <c r="B11" s="31"/>
    </row>
    <row r="12" spans="1:2" x14ac:dyDescent="0.25">
      <c r="A12" s="30">
        <v>852.24</v>
      </c>
      <c r="B12" s="31"/>
    </row>
    <row r="13" spans="1:2" x14ac:dyDescent="0.25">
      <c r="A13" s="30">
        <v>1047.74</v>
      </c>
      <c r="B13" s="31"/>
    </row>
    <row r="14" spans="1:2" x14ac:dyDescent="0.25">
      <c r="A14" s="30">
        <v>1531.15</v>
      </c>
      <c r="B14" s="31"/>
    </row>
    <row r="15" spans="1:2" x14ac:dyDescent="0.25">
      <c r="A15" s="30">
        <v>3349.39</v>
      </c>
      <c r="B15" s="31"/>
    </row>
    <row r="16" spans="1:2" x14ac:dyDescent="0.25">
      <c r="A16" s="30">
        <v>574.17999999999995</v>
      </c>
      <c r="B16" s="31"/>
    </row>
    <row r="17" spans="1:2" x14ac:dyDescent="0.25">
      <c r="A17" s="30">
        <v>810.36</v>
      </c>
      <c r="B17" s="31"/>
    </row>
    <row r="18" spans="1:2" x14ac:dyDescent="0.25">
      <c r="A18" s="30">
        <v>1292.6400000000001</v>
      </c>
      <c r="B18" s="31"/>
    </row>
    <row r="19" spans="1:2" x14ac:dyDescent="0.25">
      <c r="A19" s="30">
        <v>1107.75</v>
      </c>
      <c r="B19" s="31"/>
    </row>
    <row r="20" spans="1:2" x14ac:dyDescent="0.25">
      <c r="A20" s="30">
        <v>669.88</v>
      </c>
      <c r="B20" s="31"/>
    </row>
    <row r="21" spans="1:2" x14ac:dyDescent="0.25">
      <c r="A21" s="30">
        <v>1620</v>
      </c>
      <c r="B21" s="31"/>
    </row>
    <row r="22" spans="1:2" x14ac:dyDescent="0.25">
      <c r="A22" s="30">
        <v>3404.3</v>
      </c>
      <c r="B22" s="31"/>
    </row>
    <row r="23" spans="1:2" x14ac:dyDescent="0.25">
      <c r="A23" s="30">
        <v>2635.34</v>
      </c>
      <c r="B23" s="31"/>
    </row>
    <row r="24" spans="1:2" x14ac:dyDescent="0.25">
      <c r="A24" s="30">
        <v>4844.6899999999996</v>
      </c>
      <c r="B24" s="31"/>
    </row>
    <row r="25" spans="1:2" x14ac:dyDescent="0.25">
      <c r="A25" s="30">
        <v>1181.29</v>
      </c>
      <c r="B25" s="31"/>
    </row>
    <row r="26" spans="1:2" x14ac:dyDescent="0.25">
      <c r="A26" s="30">
        <v>733</v>
      </c>
      <c r="B26" s="31"/>
    </row>
    <row r="27" spans="1:2" x14ac:dyDescent="0.25">
      <c r="A27" s="30">
        <v>1577.47</v>
      </c>
      <c r="B27" s="31"/>
    </row>
    <row r="28" spans="1:2" x14ac:dyDescent="0.25">
      <c r="A28" s="30">
        <v>5156.6499999999996</v>
      </c>
      <c r="B28" s="31"/>
    </row>
    <row r="29" spans="1:2" x14ac:dyDescent="0.25">
      <c r="A29" s="30">
        <v>1595.08</v>
      </c>
      <c r="B29" s="31"/>
    </row>
    <row r="30" spans="1:2" x14ac:dyDescent="0.25">
      <c r="A30" s="30">
        <v>3860.64</v>
      </c>
      <c r="B30" s="31"/>
    </row>
    <row r="31" spans="1:2" x14ac:dyDescent="0.25">
      <c r="A31" s="30">
        <v>1978.05</v>
      </c>
      <c r="B31" s="31"/>
    </row>
    <row r="32" spans="1:2" x14ac:dyDescent="0.25">
      <c r="A32" s="30">
        <v>1465.96</v>
      </c>
      <c r="B32" s="31"/>
    </row>
    <row r="33" spans="1:2" x14ac:dyDescent="0.25">
      <c r="A33" s="30">
        <v>150.81</v>
      </c>
      <c r="B33" s="31"/>
    </row>
    <row r="34" spans="1:2" x14ac:dyDescent="0.25">
      <c r="A34" s="30">
        <v>3681.74</v>
      </c>
      <c r="B34" s="31"/>
    </row>
    <row r="35" spans="1:2" x14ac:dyDescent="0.25">
      <c r="A35" s="30">
        <v>9649.92</v>
      </c>
      <c r="B35" s="31"/>
    </row>
    <row r="36" spans="1:2" x14ac:dyDescent="0.25">
      <c r="A36" s="30">
        <v>488.34</v>
      </c>
      <c r="B36" s="31"/>
    </row>
    <row r="37" spans="1:2" x14ac:dyDescent="0.25">
      <c r="A37" s="32">
        <f>SUM(A1:A36)</f>
        <v>69329.179999999993</v>
      </c>
      <c r="B37" s="33" t="s">
        <v>471</v>
      </c>
    </row>
    <row r="38" spans="1:2" x14ac:dyDescent="0.25">
      <c r="A38" s="30"/>
      <c r="B38" s="31"/>
    </row>
    <row r="39" spans="1:2" x14ac:dyDescent="0.25">
      <c r="A39" s="30">
        <v>245.75</v>
      </c>
      <c r="B39" s="31" t="s">
        <v>470</v>
      </c>
    </row>
    <row r="40" spans="1:2" x14ac:dyDescent="0.25">
      <c r="A40" s="30">
        <v>2522.7600000000002</v>
      </c>
      <c r="B40" s="31" t="s">
        <v>69</v>
      </c>
    </row>
    <row r="41" spans="1:2" x14ac:dyDescent="0.25">
      <c r="A41" s="30">
        <v>200</v>
      </c>
      <c r="B41" s="31" t="s">
        <v>72</v>
      </c>
    </row>
    <row r="42" spans="1:2" x14ac:dyDescent="0.25">
      <c r="A42" s="32">
        <f>SUM(A39:A41)</f>
        <v>2968.51</v>
      </c>
      <c r="B42" s="33" t="s">
        <v>472</v>
      </c>
    </row>
    <row r="43" spans="1:2" x14ac:dyDescent="0.25">
      <c r="A43" s="31"/>
      <c r="B43" s="31"/>
    </row>
    <row r="44" spans="1:2" x14ac:dyDescent="0.25">
      <c r="A44" s="34">
        <f>SUM(A37+A42)</f>
        <v>72297.689999999988</v>
      </c>
      <c r="B44" s="35" t="s">
        <v>473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10.25 - PREVISAO</vt:lpstr>
      <vt:lpstr>10.25 - INADIMPLENCIA</vt:lpstr>
      <vt:lpstr>10.25 - DESPESAS</vt:lpstr>
      <vt:lpstr>10.25 - ACORDO</vt:lpstr>
      <vt:lpstr>10.25 - JURIDICO - RESCISÃO</vt:lpstr>
      <vt:lpstr>REPASSE - 27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 Leal</cp:lastModifiedBy>
  <cp:lastPrinted>2025-10-30T15:44:14Z</cp:lastPrinted>
  <dcterms:created xsi:type="dcterms:W3CDTF">2015-06-05T18:19:34Z</dcterms:created>
  <dcterms:modified xsi:type="dcterms:W3CDTF">2025-11-03T14:06:39Z</dcterms:modified>
</cp:coreProperties>
</file>